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项目链接清单" sheetId="1" r:id="rId1"/>
    <sheet name="计价规则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<sst xmlns="http://schemas.openxmlformats.org/spreadsheetml/2006/main" count="2586" uniqueCount="1022">
  <si>
    <t>序号</t>
  </si>
  <si>
    <t>项目系列</t>
  </si>
  <si>
    <t>项目编号</t>
  </si>
  <si>
    <t>项目名称</t>
  </si>
  <si>
    <t>单片机分类</t>
  </si>
  <si>
    <t>单片机型号</t>
  </si>
  <si>
    <t>项目用途</t>
  </si>
  <si>
    <t>使用模块</t>
  </si>
  <si>
    <t>仿真图片</t>
  </si>
  <si>
    <t>实物图片</t>
  </si>
  <si>
    <t>项目简介</t>
  </si>
  <si>
    <t>仿真+仿真代码</t>
  </si>
  <si>
    <t>原理图+PCB设计</t>
  </si>
  <si>
    <t>硬件实物+配套硬件代码</t>
  </si>
  <si>
    <t>成果书</t>
  </si>
  <si>
    <t>任务书</t>
  </si>
  <si>
    <t>PPT送答辩模板</t>
  </si>
  <si>
    <t>成果书+任务书+PPT+答辩模板+过AI+过查重</t>
  </si>
  <si>
    <t>是否展示</t>
  </si>
  <si>
    <t>排序</t>
  </si>
  <si>
    <t>A系列51单片机</t>
  </si>
  <si>
    <t>A0000</t>
  </si>
  <si>
    <t>51单片机ESP8266控制送餐机器人快递机器人 0</t>
  </si>
  <si>
    <t>51单片机</t>
  </si>
  <si>
    <t>综合应用</t>
  </si>
  <si>
    <t>按键模块、LED灯模块</t>
  </si>
  <si>
    <t>是</t>
  </si>
  <si>
    <t>A0001</t>
  </si>
  <si>
    <t>51单片机无线恒温箱恒温控制系统</t>
  </si>
  <si>
    <t>NRF24L01无线通信模块、温度传感器、继电器模块</t>
  </si>
  <si>
    <t>仿真计价不含NRF24L01无线通信模块：Proteus不便模拟真实无线传输，实物可实现。</t>
  </si>
  <si>
    <t>A0002</t>
  </si>
  <si>
    <t>51单片机垃圾箱自动分类加料机快递物流分拣器系统设计</t>
  </si>
  <si>
    <t>红外传感器、颜色识别传感器、电机驱动模块</t>
  </si>
  <si>
    <t>A0003</t>
  </si>
  <si>
    <t>51单片机HC-SR04超声波测距带温度补偿_倒车雷达</t>
  </si>
  <si>
    <t>温湿度检测、超声波测距</t>
  </si>
  <si>
    <t>温度传感器、HC-SR04超声波模块</t>
  </si>
  <si>
    <t>A0004</t>
  </si>
  <si>
    <t>51单片机土壤湿度检测及盆栽自动浇花系统</t>
  </si>
  <si>
    <t>温湿度检测、农业控制</t>
  </si>
  <si>
    <t>土壤湿度传感器、继电器模块、水泵模块、数码管显示模块</t>
  </si>
  <si>
    <t>A0005</t>
  </si>
  <si>
    <t>51单片机的智能空调控制系统</t>
  </si>
  <si>
    <t>继电器模块、制冷驱动模块</t>
  </si>
  <si>
    <t>A0006</t>
  </si>
  <si>
    <t>51单片机的烟雾火灾报警系统</t>
  </si>
  <si>
    <t>环境监测、安防报警</t>
  </si>
  <si>
    <t>烟雾传感器、火焰传感器、蜂鸣器</t>
  </si>
  <si>
    <t>A0007</t>
  </si>
  <si>
    <t>51单片机LED彩灯霓虹灯控制器(心形流水灯)设计</t>
  </si>
  <si>
    <t>LED灯模块</t>
  </si>
  <si>
    <t>A0008</t>
  </si>
  <si>
    <t>51单片机双机串口排队叫号lcd显示设计</t>
  </si>
  <si>
    <t>显示与交互</t>
  </si>
  <si>
    <t>串口通信模块、LCD1602显示模块</t>
  </si>
  <si>
    <t>A0009</t>
  </si>
  <si>
    <t>51单片机的DS18B20温度控制加热降温系统设计</t>
  </si>
  <si>
    <t>温湿度检测</t>
  </si>
  <si>
    <t>DS18B20温度传感器、继电器模块、加热模块</t>
  </si>
  <si>
    <t>A0010</t>
  </si>
  <si>
    <t>51单片机的天然气监测报警系统设计</t>
  </si>
  <si>
    <t>安防报警</t>
  </si>
  <si>
    <t>可燃气体传感器、数码管显示模块、蜂鸣器</t>
  </si>
  <si>
    <t>A0011</t>
  </si>
  <si>
    <t>51单片机的数字电子钟万年历闹钟农历闰年显示设计</t>
  </si>
  <si>
    <t>数码管显示模块、RTC时钟模块</t>
  </si>
  <si>
    <t>A0012</t>
  </si>
  <si>
    <t>51单片机的十字路口红绿灯带左转设计</t>
  </si>
  <si>
    <t>智能交通</t>
  </si>
  <si>
    <t>LED交通灯模块、按键模块、左转指示灯模块</t>
  </si>
  <si>
    <t>A0013</t>
  </si>
  <si>
    <t>51单片机的简易风扇控制系统设计</t>
  </si>
  <si>
    <t>智能家居</t>
  </si>
  <si>
    <t>直流电机驱动模块</t>
  </si>
  <si>
    <t>B系列51单片机</t>
  </si>
  <si>
    <t>B001</t>
  </si>
  <si>
    <t>51单片机的电子拔河游戏机仿真设计</t>
  </si>
  <si>
    <t>按键模块、LED指示灯模块、蜂鸣器</t>
  </si>
  <si>
    <t>B002</t>
  </si>
  <si>
    <t>51单片机的数字电压表0-150V量程设计</t>
  </si>
  <si>
    <t>测量仪器</t>
  </si>
  <si>
    <t>电压采样模块、数码管显示模块</t>
  </si>
  <si>
    <t>B003</t>
  </si>
  <si>
    <t>51单片机的电压测量0-5V超范围报警</t>
  </si>
  <si>
    <t>安防报警、测量仪器</t>
  </si>
  <si>
    <t>电压采样模块、数码管显示模块、蜂鸣器</t>
  </si>
  <si>
    <t>B004</t>
  </si>
  <si>
    <t>51单片机的打地鼠游戏设计</t>
  </si>
  <si>
    <t>B005</t>
  </si>
  <si>
    <t>51单片机的简易汽车雨刮器设计</t>
  </si>
  <si>
    <t>雨滴传感器、电机驱动模块</t>
  </si>
  <si>
    <t>B006</t>
  </si>
  <si>
    <t>51单片机的时钟倒计时设计</t>
  </si>
  <si>
    <t>数码管显示模块、RTC时钟模块、按键模块</t>
  </si>
  <si>
    <t>B007</t>
  </si>
  <si>
    <t>51单片机的防火防盗系统设计</t>
  </si>
  <si>
    <t>烟雾传感器、红外传感器、蜂鸣器</t>
  </si>
  <si>
    <t>B008</t>
  </si>
  <si>
    <t>51单片机的公交车报站系统设计</t>
  </si>
  <si>
    <t>语音播报模块、存储模块、按键模块</t>
  </si>
  <si>
    <t>仿真计价不含语音播报模块：Proteus无法还原真实语音播放过程，实物可实现。</t>
  </si>
  <si>
    <t>B009</t>
  </si>
  <si>
    <t>51单片简易时钟DS1302四位数码管显示</t>
  </si>
  <si>
    <t>B010</t>
  </si>
  <si>
    <t>51单片机的声控灯</t>
  </si>
  <si>
    <t>声音传感器、LED灯模块</t>
  </si>
  <si>
    <t>B011</t>
  </si>
  <si>
    <t>51单片机呼吸灯</t>
  </si>
  <si>
    <t>B012</t>
  </si>
  <si>
    <t>51单片机电动感应门控制</t>
  </si>
  <si>
    <t>红外传感器、电机驱动模块</t>
  </si>
  <si>
    <t>B013</t>
  </si>
  <si>
    <t>51单片机电动窗帘控制OLED显示</t>
  </si>
  <si>
    <t>智能家居、显示与交互</t>
  </si>
  <si>
    <t>步进电机驱动模块、OLED显示模块</t>
  </si>
  <si>
    <t>B014</t>
  </si>
  <si>
    <t>51单片机远程防盗报警器</t>
  </si>
  <si>
    <t>安防报警、物联网</t>
  </si>
  <si>
    <t>ESP8266 WiFi模块、蜂鸣器</t>
  </si>
  <si>
    <t>仿真计价不含ESP8266 WiFi模块：Proteus缺少稳定可用的通信模型，实物可实现无线通信。</t>
  </si>
  <si>
    <t>B015</t>
  </si>
  <si>
    <t>51单片机的双路倒车雷达测距报警系统</t>
  </si>
  <si>
    <t>超声波测距、安防报警</t>
  </si>
  <si>
    <t>HC-SR04超声波模块、蜂鸣器</t>
  </si>
  <si>
    <t>B016</t>
  </si>
  <si>
    <t>51单片机停车场刷卡计费器</t>
  </si>
  <si>
    <t>RFID读卡模块、道闸电机驱动模块、LCD1602显示模块</t>
  </si>
  <si>
    <t>仿真计价不含RFID读卡模块：Proteus不便模拟真实读卡过程，实物可实现。</t>
  </si>
  <si>
    <t>B017</t>
  </si>
  <si>
    <t>51单片机音乐盒设计_10首歌</t>
  </si>
  <si>
    <t>音频语音</t>
  </si>
  <si>
    <t>音频播放模块、音频功放模块</t>
  </si>
  <si>
    <t>B018</t>
  </si>
  <si>
    <t>51单片机16X16点阵显示串口数据传输</t>
  </si>
  <si>
    <t>串口通信模块、LED点阵显示模块</t>
  </si>
  <si>
    <t>B019</t>
  </si>
  <si>
    <t>51单片机热电偶温度报警器_数码管显示</t>
  </si>
  <si>
    <t>温湿度检测、安防报警、显示与交互</t>
  </si>
  <si>
    <t>温度传感器、ADC采样模块、数码管显示模块、蜂鸣器</t>
  </si>
  <si>
    <t>B020</t>
  </si>
  <si>
    <t>51单片机热电偶温度报警器_LCD显示</t>
  </si>
  <si>
    <t>温度传感器、ADC采样模块、LCD1602显示模块、蜂鸣器</t>
  </si>
  <si>
    <t>C系列51单片机</t>
  </si>
  <si>
    <t>C000</t>
  </si>
  <si>
    <t>51单片机甲醛浓度检测 1</t>
  </si>
  <si>
    <t>环境监测</t>
  </si>
  <si>
    <t>甲醛传感器、数码管显示模块</t>
  </si>
  <si>
    <t>C001</t>
  </si>
  <si>
    <t>51单片机智能加湿器控制系统 1</t>
  </si>
  <si>
    <t>继电器模块、加湿器驱动模块</t>
  </si>
  <si>
    <t>C002</t>
  </si>
  <si>
    <t>51单片机多路温度检测</t>
  </si>
  <si>
    <t>温度传感器、数码管显示模块</t>
  </si>
  <si>
    <t>C003</t>
  </si>
  <si>
    <t>51单片机智能家居监控系统(煤气火灾烟雾防闯入) 1</t>
  </si>
  <si>
    <t>环境监测、智能家居</t>
  </si>
  <si>
    <t>烟雾传感器、火焰传感器、可燃气体传感器、继电器模块</t>
  </si>
  <si>
    <t>C004</t>
  </si>
  <si>
    <t>51单片机智能家居环境检测 1</t>
  </si>
  <si>
    <t>DHT11温湿度传感器、空气质量传感器、继电器模块、数码管显示模块</t>
  </si>
  <si>
    <t>C005</t>
  </si>
  <si>
    <t>51单片机智能家居空气质量监控 1</t>
  </si>
  <si>
    <t>空气质量传感器、继电器模块</t>
  </si>
  <si>
    <t>C006</t>
  </si>
  <si>
    <t>51单片机7键电子琴音乐播放器 1</t>
  </si>
  <si>
    <t>矩阵键盘、蜂鸣器</t>
  </si>
  <si>
    <t>否</t>
  </si>
  <si>
    <t>C007</t>
  </si>
  <si>
    <t>51单片机LCD1602矩阵键盘密码锁 1</t>
  </si>
  <si>
    <t>4×4矩阵键盘、电磁锁驱动模块、LCD1602显示模块</t>
  </si>
  <si>
    <t>C008</t>
  </si>
  <si>
    <t>51单片机电子秤 1</t>
  </si>
  <si>
    <t>称重传感器、HX711称重模块、数码管显示模块</t>
  </si>
  <si>
    <t>C009</t>
  </si>
  <si>
    <t>51单片机酒精浓度检测仪  1</t>
  </si>
  <si>
    <t>酒精传感器、数码管显示模块</t>
  </si>
  <si>
    <t>C010</t>
  </si>
  <si>
    <t>51单片机轮胎胎压监测系统-压力传感器 AES 0</t>
  </si>
  <si>
    <t>压力传感器、数码管显示模块</t>
  </si>
  <si>
    <t>C011</t>
  </si>
  <si>
    <t>51单片机的火灾检测设计1</t>
  </si>
  <si>
    <t>火焰传感器、数码管显示模块</t>
  </si>
  <si>
    <t>C012</t>
  </si>
  <si>
    <t>51单片机步进电机1</t>
  </si>
  <si>
    <t>电机控制</t>
  </si>
  <si>
    <t>步进电机驱动模块</t>
  </si>
  <si>
    <t>C013</t>
  </si>
  <si>
    <t>51单片机的多路温度检测调节串口传输系统 1</t>
  </si>
  <si>
    <t>串口通信模块、温度传感器、数码管显示模块</t>
  </si>
  <si>
    <t>C014</t>
  </si>
  <si>
    <t>51单片机的多路温度采集控制1</t>
  </si>
  <si>
    <t>温度传感器、继电器模块</t>
  </si>
  <si>
    <t>C015</t>
  </si>
  <si>
    <t>51单片机步进电机控速 1</t>
  </si>
  <si>
    <t>步进电机驱动模块、按键模块</t>
  </si>
  <si>
    <t>C016</t>
  </si>
  <si>
    <t>51单片机篮球赛计时计分器 AES 0</t>
  </si>
  <si>
    <t>数码管显示模块、按键模块</t>
  </si>
  <si>
    <t>C017</t>
  </si>
  <si>
    <t>51单片机电子钟万年历</t>
  </si>
  <si>
    <t>C018</t>
  </si>
  <si>
    <t>51单片机电子钟闹钟 AES 0</t>
  </si>
  <si>
    <t>C019</t>
  </si>
  <si>
    <t>51单片机按键数码管</t>
  </si>
  <si>
    <t>C020</t>
  </si>
  <si>
    <t>51单片机的十字路口交通灯红绿灯_串口</t>
  </si>
  <si>
    <t>LED交通灯模块、按键模块、串口通信模块</t>
  </si>
  <si>
    <t>J系列51交通灯</t>
  </si>
  <si>
    <t>J000</t>
  </si>
  <si>
    <t>51单片机交通灯_调绿灯时间+紧急</t>
  </si>
  <si>
    <t>LED交通灯模块、按键模块、数码管显示模块</t>
  </si>
  <si>
    <t>J001</t>
  </si>
  <si>
    <t>51单片机智能交通灯电路</t>
  </si>
  <si>
    <t>LED交通灯模块、按键模块</t>
  </si>
  <si>
    <t>J002</t>
  </si>
  <si>
    <t>51单片机十字路交通灯仿真_黄灯闪烁+夜间+夜间</t>
  </si>
  <si>
    <t>LED交通灯模块、按键模块、光敏传感器</t>
  </si>
  <si>
    <t>J003</t>
  </si>
  <si>
    <t>51单片机交通信号灯仿真_东西管制+南北管制</t>
  </si>
  <si>
    <t>J004</t>
  </si>
  <si>
    <t>51单片交通灯控制器_紧急+行人+总开关</t>
  </si>
  <si>
    <t>LED交通灯模块、按键模块、行人按键模块</t>
  </si>
  <si>
    <t>J005</t>
  </si>
  <si>
    <t>51单片机十字路口交通灯控制系统_紧急+行人+总开关</t>
  </si>
  <si>
    <t>J006</t>
  </si>
  <si>
    <t>51单片机十字路口交通灯_5s黄灯闪烁</t>
  </si>
  <si>
    <t>J007</t>
  </si>
  <si>
    <t>51单片机十字路口交通灯_5s全黄闪烁</t>
  </si>
  <si>
    <t>J008</t>
  </si>
  <si>
    <t>51单片机交通灯控制系统_可调时间+紧急+行人+黄灯5s</t>
  </si>
  <si>
    <t>LED交通灯模块、按键模块、数码管显示模块、行人按键模块</t>
  </si>
  <si>
    <t>J009</t>
  </si>
  <si>
    <t>51单片机十字路口交通控制器交通灯_闯红灯警告+紧急+黄灯闪烁5s</t>
  </si>
  <si>
    <t>LED交通灯模块、按键模块、蜂鸣器</t>
  </si>
  <si>
    <t>J010</t>
  </si>
  <si>
    <t>51单片机十字路口红绿灯交通灯_可调时间+无黄灯+紧急</t>
  </si>
  <si>
    <t>J011</t>
  </si>
  <si>
    <t>51单片机十字路口交通灯_只显示绿灯时间+黄灯5s</t>
  </si>
  <si>
    <t>智能交通、显示与交互</t>
  </si>
  <si>
    <t>J012</t>
  </si>
  <si>
    <t>51单片机交通灯控制器_管制+启动+黄灯闪烁</t>
  </si>
  <si>
    <t>J013</t>
  </si>
  <si>
    <t>51单片机十字路口交通信号灯_启动+绿灯同亮报警</t>
  </si>
  <si>
    <t>按键模块、蜂鸣器</t>
  </si>
  <si>
    <t>J014</t>
  </si>
  <si>
    <t>51单片机十字路口交通灯仿真 _紧急+黄灯5s</t>
  </si>
  <si>
    <t>J015</t>
  </si>
  <si>
    <t>51单片机十字路口交通灯仿真 _紧急+夜间</t>
  </si>
  <si>
    <t>J016</t>
  </si>
  <si>
    <t>51单片机交通灯红绿灯_可调时间+紧急+3秒黄灯闪烁</t>
  </si>
  <si>
    <t>J017</t>
  </si>
  <si>
    <t>51单片机交通灯红绿灯_可调时间+紧急+20ms中断</t>
  </si>
  <si>
    <t>J018</t>
  </si>
  <si>
    <t>51单片机交通灯_紧急按键+5秒黄灯常亮</t>
  </si>
  <si>
    <t>J019</t>
  </si>
  <si>
    <t>51单片机串口交通灯控制器_紧急+夜间+忙闲时+夜间行人模式</t>
  </si>
  <si>
    <t>LED交通灯模块、按键模块、行人按键模块、串口通信模块、光敏传感器</t>
  </si>
  <si>
    <t>J020</t>
  </si>
  <si>
    <t>51单片机串口交通灯_南北管控+东西管控+4秒绿灯闪烁+3秒黄灯常亮</t>
  </si>
  <si>
    <t>J021</t>
  </si>
  <si>
    <t>51单片机4x4矩阵键盘交通灯_检测+紧急+暂停模式+5秒黄灯常亮</t>
  </si>
  <si>
    <t>LED交通灯模块、按键模块、4×4矩阵键盘</t>
  </si>
  <si>
    <t>J022</t>
  </si>
  <si>
    <t>51单片机带左转交通灯_紧急+夜间模式</t>
  </si>
  <si>
    <t>LED交通灯模块、按键模块、左转指示灯模块、光敏传感器</t>
  </si>
  <si>
    <t>J023</t>
  </si>
  <si>
    <t>51单片机带左转交通灯_IO口直推+紧急+夜间模式</t>
  </si>
  <si>
    <t>J024</t>
  </si>
  <si>
    <t>51单片机简易交通灯_5秒黄灯常亮</t>
  </si>
  <si>
    <t>J025</t>
  </si>
  <si>
    <t>51单片机简易交通灯_汇编语言</t>
  </si>
  <si>
    <t>J026</t>
  </si>
  <si>
    <t>51单片机红绿黄交通灯_紧急开关+5s黄灯常亮</t>
  </si>
  <si>
    <t>J027</t>
  </si>
  <si>
    <t>51单片机简易交通灯_易懂版_仿真代码(报告+讲解)</t>
  </si>
  <si>
    <t>J028</t>
  </si>
  <si>
    <t>51单片机简易交通灯_易懂版_夜间+紧急(报告)</t>
  </si>
  <si>
    <t>J029</t>
  </si>
  <si>
    <t>51单片机交通灯_可调时间_夜间+紧急(报告)</t>
  </si>
  <si>
    <t>LED交通灯模块、按键模块、数码管显示模块、光敏传感器</t>
  </si>
  <si>
    <t>J030</t>
  </si>
  <si>
    <t>STM32交通灯仿真设计_紧急_可调时间_仿真_代码(讲解+报告)</t>
  </si>
  <si>
    <t>STM32</t>
  </si>
  <si>
    <t>J031</t>
  </si>
  <si>
    <t>基于STM32简易交通灯仿真设计</t>
  </si>
  <si>
    <t>J032</t>
  </si>
  <si>
    <t>STC15单片机交通灯_紧急+夜间模式</t>
  </si>
  <si>
    <t>STC15</t>
  </si>
  <si>
    <t>L系列51单片机</t>
  </si>
  <si>
    <t>L000</t>
  </si>
  <si>
    <t>51单片机按键控制数码管显示</t>
  </si>
  <si>
    <t>L001</t>
  </si>
  <si>
    <t>51单片机简易计算器</t>
  </si>
  <si>
    <t>4×4矩阵键盘、数码管显示模块</t>
  </si>
  <si>
    <t>L002</t>
  </si>
  <si>
    <t>51单片机0.01精度秒表99.99s</t>
  </si>
  <si>
    <t>L003</t>
  </si>
  <si>
    <t>51单片机0.001s精度秒表9.999s</t>
  </si>
  <si>
    <t>L004</t>
  </si>
  <si>
    <t>51单片机超声波测距带语音播报</t>
  </si>
  <si>
    <t>超声波测距、音频语音</t>
  </si>
  <si>
    <t>语音播报模块、存储模块、按键模块、HC-SR04超声波模块</t>
  </si>
  <si>
    <t>L005</t>
  </si>
  <si>
    <t>51单片机简易数字电压表_数码管显示</t>
  </si>
  <si>
    <t>显示与交互、测量仪器</t>
  </si>
  <si>
    <t>L006</t>
  </si>
  <si>
    <t>51单片机数字电压表_LCD显示</t>
  </si>
  <si>
    <t>电压采样模块、LCD1602显示模块</t>
  </si>
  <si>
    <t>L007</t>
  </si>
  <si>
    <t>51单片机停车场</t>
  </si>
  <si>
    <t>L008</t>
  </si>
  <si>
    <t>51单片机温度报警器</t>
  </si>
  <si>
    <t>温湿度检测、安防报警</t>
  </si>
  <si>
    <t>温度传感器、蜂鸣器</t>
  </si>
  <si>
    <t>L009</t>
  </si>
  <si>
    <t>51单片机数字温度传感器报警</t>
  </si>
  <si>
    <t>L010</t>
  </si>
  <si>
    <t>51单片机温度控制调速风扇系统</t>
  </si>
  <si>
    <t>温湿度检测、智能家居</t>
  </si>
  <si>
    <t>温度传感器、直流电机驱动模块</t>
  </si>
  <si>
    <t>L011</t>
  </si>
  <si>
    <t>51单片机DS18B20温控风扇</t>
  </si>
  <si>
    <t>DS18B20温度传感器、直流电机驱动模块</t>
  </si>
  <si>
    <t>L012</t>
  </si>
  <si>
    <t>51单片机温度监控温度计DS18B20_可调上下限</t>
  </si>
  <si>
    <t>DS18B20温度传感器、按键模块</t>
  </si>
  <si>
    <t>L013</t>
  </si>
  <si>
    <t>51单片机温湿度控制器_可调</t>
  </si>
  <si>
    <t>DHT11温湿度传感器、继电器模块、按键模块</t>
  </si>
  <si>
    <t>L014</t>
  </si>
  <si>
    <t>51单片机DS18B20温度测量</t>
  </si>
  <si>
    <t>温湿度检测、测量仪器</t>
  </si>
  <si>
    <t>DS18B20温度传感器、数码管显示模块</t>
  </si>
  <si>
    <t>L015</t>
  </si>
  <si>
    <t>51单片机信号发生器</t>
  </si>
  <si>
    <t>DDS信号发生模块</t>
  </si>
  <si>
    <t>L016</t>
  </si>
  <si>
    <t>51单片机正向计时秒表00-99</t>
  </si>
  <si>
    <t>L017</t>
  </si>
  <si>
    <t>51单片机反向计时秒表99-00</t>
  </si>
  <si>
    <t>L018</t>
  </si>
  <si>
    <t>51单片机轮胎胎压气压监测_数码管显示</t>
  </si>
  <si>
    <t>L019</t>
  </si>
  <si>
    <t>51单片机智能导盲手杖_超声波测距</t>
  </si>
  <si>
    <t>超声波测距</t>
  </si>
  <si>
    <t>L020</t>
  </si>
  <si>
    <t>TCP7107数字式温度计（纯硬件仿真 无代码）</t>
  </si>
  <si>
    <t>温度传感器</t>
  </si>
  <si>
    <t>L021</t>
  </si>
  <si>
    <t>51单片机手动计步器设计</t>
  </si>
  <si>
    <t>三轴加速度传感器、数码管显示模块、按键模块</t>
  </si>
  <si>
    <t>L022</t>
  </si>
  <si>
    <t>51单片机DTH11温湿度测量仪</t>
  </si>
  <si>
    <t>DHT11温湿度传感器、数码管显示模块</t>
  </si>
  <si>
    <t>L023</t>
  </si>
  <si>
    <t>51单片机热敏电阻PT100热电偶AD转换设计</t>
  </si>
  <si>
    <t>温度传感器、ADC采样模块、RLC测量模块</t>
  </si>
  <si>
    <t>L024</t>
  </si>
  <si>
    <t>51单片机双机串口通信</t>
  </si>
  <si>
    <t>串口通信模块</t>
  </si>
  <si>
    <t>L025</t>
  </si>
  <si>
    <t>51单片机全自动洗衣机</t>
  </si>
  <si>
    <t>水位传感器、电机驱动模块</t>
  </si>
  <si>
    <t>L026</t>
  </si>
  <si>
    <t>51单片机的电子血压温度计(健康监测系统)</t>
  </si>
  <si>
    <t>温湿度检测、医疗健康</t>
  </si>
  <si>
    <t>温度传感器、血压传感器、数码管显示模块</t>
  </si>
  <si>
    <t>L027</t>
  </si>
  <si>
    <t>51单片机多层电梯(1-16层)运行仿真设计</t>
  </si>
  <si>
    <t>按键模块、步进电机驱动模块、数码管显示模块</t>
  </si>
  <si>
    <t>L028</t>
  </si>
  <si>
    <t>51单片机的DS12C887万年历农历仿真设计</t>
  </si>
  <si>
    <t>L029</t>
  </si>
  <si>
    <t>51单片机的宠物自动喂食投料控制仿真设计</t>
  </si>
  <si>
    <t>舵机驱动模块、RTC时钟模块</t>
  </si>
  <si>
    <t>L030</t>
  </si>
  <si>
    <t>51单片机的音乐盒设计</t>
  </si>
  <si>
    <t>L031</t>
  </si>
  <si>
    <t>51单片机的PWM控制直流电机仿真设计</t>
  </si>
  <si>
    <t>直流电机驱动模块、PWM控制模块</t>
  </si>
  <si>
    <t>L032</t>
  </si>
  <si>
    <t>51单片机空气质量PM2.5监测仪</t>
  </si>
  <si>
    <t>PM2.5传感器、数码管显示模块</t>
  </si>
  <si>
    <t>L033</t>
  </si>
  <si>
    <t>51单片机七人多数表决器仿真设计</t>
  </si>
  <si>
    <t>L034</t>
  </si>
  <si>
    <t>51单片机双机串口排队叫号数码管显示</t>
  </si>
  <si>
    <t>串口通信模块、数码管显示模块</t>
  </si>
  <si>
    <t>L035</t>
  </si>
  <si>
    <t>51单片机多路电压检测</t>
  </si>
  <si>
    <t>L036</t>
  </si>
  <si>
    <t>51单片机简易出租车计价器</t>
  </si>
  <si>
    <t>霍尔速度传感器、LCD1602显示模块、数码管显示模块</t>
  </si>
  <si>
    <t>L037</t>
  </si>
  <si>
    <t>51单片机简易电阻测量仪仿真设计</t>
  </si>
  <si>
    <t>RLC测量模块、数码管显示模块</t>
  </si>
  <si>
    <t>L038</t>
  </si>
  <si>
    <t>51单片机简易电感测量仪仿真设计</t>
  </si>
  <si>
    <t>L039</t>
  </si>
  <si>
    <t>51单片机简易电容测量仪仿真设计</t>
  </si>
  <si>
    <t>L040</t>
  </si>
  <si>
    <t>51单片机RLC电阻电感电容测量仪仿真设计</t>
  </si>
  <si>
    <t>L041</t>
  </si>
  <si>
    <t>51单片机简易数字万用表(电阻电流电压测量)仿真</t>
  </si>
  <si>
    <t>电压采样模块、电流采样模块、RLC测量模块、数码管显示模块</t>
  </si>
  <si>
    <t>L042</t>
  </si>
  <si>
    <t>51单片机智能电风扇模拟控制系统仿真设计</t>
  </si>
  <si>
    <t>直流电机驱动模块、温度传感器</t>
  </si>
  <si>
    <t>L043</t>
  </si>
  <si>
    <t>51单片机SHT11温湿度LCD12864显示报警仿真</t>
  </si>
  <si>
    <t>SHT11温湿度传感器、LCD12864显示模块、蜂鸣器</t>
  </si>
  <si>
    <t>L044</t>
  </si>
  <si>
    <t>51单片机DHT11温湿度控制LCD1602系统仿真</t>
  </si>
  <si>
    <t>温湿度检测、显示与交互</t>
  </si>
  <si>
    <t>DHT11温湿度传感器、继电器模块、LCD1602显示模块</t>
  </si>
  <si>
    <t>L045</t>
  </si>
  <si>
    <t>51单片机简易热水器控制系统仿真设计</t>
  </si>
  <si>
    <t>温度传感器、继电器模块、加热模块</t>
  </si>
  <si>
    <t>L046</t>
  </si>
  <si>
    <t>51单片机简易电子钟闹钟_8位数码管仿真设计</t>
  </si>
  <si>
    <t>L047</t>
  </si>
  <si>
    <t>51单片机电子钟整点报时_6位数码管仿真设计</t>
  </si>
  <si>
    <t>L048</t>
  </si>
  <si>
    <t>51单片机简易篮球计分器数码管显示仿真</t>
  </si>
  <si>
    <t>L049</t>
  </si>
  <si>
    <t>51单片机简易计算器(加减乘除)数码管显示仿真</t>
  </si>
  <si>
    <t>数码管显示模块、4×4矩阵键盘</t>
  </si>
  <si>
    <t>L050</t>
  </si>
  <si>
    <t>51单片机智能台灯控制系统仿真设计</t>
  </si>
  <si>
    <t>LED灯模块、PWM调光模块</t>
  </si>
  <si>
    <t>L051</t>
  </si>
  <si>
    <t>51单片机DS1302万年历时钟温度12864显示仿真</t>
  </si>
  <si>
    <t>温度传感器、LCD12864显示模块、RTC时钟模块</t>
  </si>
  <si>
    <t>L052</t>
  </si>
  <si>
    <t>51单片机光感自动路灯控制系统仿真设计</t>
  </si>
  <si>
    <t>LED灯模块、光敏传感器、继电器模块</t>
  </si>
  <si>
    <t>L053</t>
  </si>
  <si>
    <t>51单片机秒表整点报时倒计时电子钟万年历仿真设计</t>
  </si>
  <si>
    <t>L054</t>
  </si>
  <si>
    <t>51单片机双机红外遥控发射接收仿真设计</t>
  </si>
  <si>
    <t>串口通信模块、红外遥控接收模块、红外发射模块</t>
  </si>
  <si>
    <t>L055</t>
  </si>
  <si>
    <t>51单片机可调幅调频波形信号发生器仿真</t>
  </si>
  <si>
    <t>DDS信号发生模块、按键模块</t>
  </si>
  <si>
    <t>L056</t>
  </si>
  <si>
    <t>51单片机锅炉监控系统仿真设计</t>
  </si>
  <si>
    <t>L057</t>
  </si>
  <si>
    <t>51单片机电子钟闹钟温度LCD液晶显示设计</t>
  </si>
  <si>
    <t>温度传感器、LCD1602显示模块、RTC时钟模块</t>
  </si>
  <si>
    <t>L058</t>
  </si>
  <si>
    <t>51单片机篮球计时计分器LCD1602液晶</t>
  </si>
  <si>
    <t>LCD1602显示模块、按键模块</t>
  </si>
  <si>
    <t>L059</t>
  </si>
  <si>
    <t>51单片机PCF8591电压表数码管设计</t>
  </si>
  <si>
    <t>电压采样模块、PCF8591 ADC/DAC模块、数码管显示模块</t>
  </si>
  <si>
    <t>L060</t>
  </si>
  <si>
    <t>51单片机PCF8591电压表LCD1602液晶</t>
  </si>
  <si>
    <t>电压采样模块、PCF8591 ADC/DAC模块、LCD1602显示模块</t>
  </si>
  <si>
    <t>L061</t>
  </si>
  <si>
    <t>51单片机电子钟温度检测数码显示设计</t>
  </si>
  <si>
    <t>温度传感器、数码管显示模块、RTC时钟模块</t>
  </si>
  <si>
    <t>L062</t>
  </si>
  <si>
    <t>51单片机步进电机加减速正反转数码管显示</t>
  </si>
  <si>
    <t>显示与交互、电机控制</t>
  </si>
  <si>
    <t>步进电机驱动模块、数码管显示模块、按键模块</t>
  </si>
  <si>
    <t>L063</t>
  </si>
  <si>
    <t>51单片机步进电机节拍步数正反转LCD1602显示</t>
  </si>
  <si>
    <t>步进电机驱动模块、LCD1602显示模块、按键模块</t>
  </si>
  <si>
    <t>L064</t>
  </si>
  <si>
    <t>51单片机水位监测控制报警仿真设计</t>
  </si>
  <si>
    <t>水位传感器、继电器模块、水泵模块、数码管显示模块、蜂鸣器</t>
  </si>
  <si>
    <t>L065</t>
  </si>
  <si>
    <t>51单片机音乐盒LCD1602显示</t>
  </si>
  <si>
    <t>显示与交互、音频语音</t>
  </si>
  <si>
    <t>音频播放模块、音频功放模块、LCD1602显示模块</t>
  </si>
  <si>
    <t>L066</t>
  </si>
  <si>
    <t>51单片机数字电流表数码管显示</t>
  </si>
  <si>
    <t>电流采样模块、数码管显示模块</t>
  </si>
  <si>
    <t>L067</t>
  </si>
  <si>
    <t>51单片机烟雾报警器数码管仿真设计</t>
  </si>
  <si>
    <t>烟雾传感器、数码管显示模块、蜂鸣器</t>
  </si>
  <si>
    <t>L068</t>
  </si>
  <si>
    <t>51单片机烟雾报警器LCD1602仿真设计</t>
  </si>
  <si>
    <t>环境监测、安防报警、显示与交互</t>
  </si>
  <si>
    <t>烟雾传感器、LCD1602显示模块、蜂鸣器</t>
  </si>
  <si>
    <t>L069</t>
  </si>
  <si>
    <t>51单片机水质PH值浑浊度检测LCD1602仿真设计</t>
  </si>
  <si>
    <t>pH传感器、浊度传感器、LCD1602显示模块</t>
  </si>
  <si>
    <t>L070</t>
  </si>
  <si>
    <t>51单片机风速测量仪报警仿真设计</t>
  </si>
  <si>
    <t>风速传感器、数码管显示模块、蜂鸣器</t>
  </si>
  <si>
    <t>L071</t>
  </si>
  <si>
    <t>51单片机微波炉控制仿真设计</t>
  </si>
  <si>
    <t>L072</t>
  </si>
  <si>
    <t>51单片机数控电压源LCD1602仿真设计</t>
  </si>
  <si>
    <t>L073</t>
  </si>
  <si>
    <t>51单片机一氧化碳(CO)报警器LCD1602仿真设计</t>
  </si>
  <si>
    <t>安防报警、显示与交互</t>
  </si>
  <si>
    <t>一氧化碳传感器、LCD1602显示模块、蜂鸣器</t>
  </si>
  <si>
    <t>L074</t>
  </si>
  <si>
    <t>51单片机多机串口通信仿真设计</t>
  </si>
  <si>
    <t>L075</t>
  </si>
  <si>
    <t>51单片机教室灯光全自动控制系统</t>
  </si>
  <si>
    <t>L076</t>
  </si>
  <si>
    <t>51单片机篮球进攻24秒倒计时设计</t>
  </si>
  <si>
    <t>L077</t>
  </si>
  <si>
    <t>51单片机洗衣机控制(强洗弱洗漂洗)设计</t>
  </si>
  <si>
    <t>L078</t>
  </si>
  <si>
    <t>51单片机自行车测速里程码表设计</t>
  </si>
  <si>
    <t>霍尔速度传感器、LCD1602显示模块</t>
  </si>
  <si>
    <t>L079</t>
  </si>
  <si>
    <t>51单片机氢气报警器LCD1602仿真设计</t>
  </si>
  <si>
    <t>可燃气体传感器、LCD1602显示模块、蜂鸣器</t>
  </si>
  <si>
    <t>L080</t>
  </si>
  <si>
    <t>51单片机智能鱼缸控制仿真设计</t>
  </si>
  <si>
    <t>水位传感器、继电器模块、水泵模块</t>
  </si>
  <si>
    <t>L081</t>
  </si>
  <si>
    <t>51单片机输液点滴控制系统仿真设计</t>
  </si>
  <si>
    <t>医疗健康</t>
  </si>
  <si>
    <t>L082</t>
  </si>
  <si>
    <t>51单片机电子钟闹钟12/24时制仿真设计</t>
  </si>
  <si>
    <t>L083</t>
  </si>
  <si>
    <t>51单片机电子秤LCD1602液晶仿真设计</t>
  </si>
  <si>
    <t>称重传感器、HX711称重模块、LCD1602显示模块</t>
  </si>
  <si>
    <t>L084</t>
  </si>
  <si>
    <t>51单片机智能窗帘控制系统仿真设计</t>
  </si>
  <si>
    <t>步进电机驱动模块、光敏传感器</t>
  </si>
  <si>
    <t>L085</t>
  </si>
  <si>
    <t>51单片机空气质量监测LCD1602仿真设计</t>
  </si>
  <si>
    <t>环境监测、显示与交互</t>
  </si>
  <si>
    <t>空气质量传感器、LCD1602显示模块</t>
  </si>
  <si>
    <t>L086</t>
  </si>
  <si>
    <t>51单片机闭环直流电机测速调速仿真设计</t>
  </si>
  <si>
    <t>直流电机驱动模块、霍尔速度传感器</t>
  </si>
  <si>
    <t>L087</t>
  </si>
  <si>
    <t>51单片机电子钟秒表LCD1602显示仿真</t>
  </si>
  <si>
    <t>LCD1602显示模块、RTC时钟模块、按键模块</t>
  </si>
  <si>
    <t>L088</t>
  </si>
  <si>
    <t>51单片机传送带调速计数仿真设计</t>
  </si>
  <si>
    <t>直流电机驱动模块、红外对管模块</t>
  </si>
  <si>
    <t>L089</t>
  </si>
  <si>
    <t>51单片机智能垃圾桶仿真设计</t>
  </si>
  <si>
    <t>HC-SR04超声波模块、舵机驱动模块</t>
  </si>
  <si>
    <t>L090</t>
  </si>
  <si>
    <t>51单片机音乐定时倒计时仿真设计</t>
  </si>
  <si>
    <t>L091</t>
  </si>
  <si>
    <t>51单片机电子门铃仿真设计</t>
  </si>
  <si>
    <t>L092</t>
  </si>
  <si>
    <t>51单片机冰箱控制系统设计</t>
  </si>
  <si>
    <t>L093</t>
  </si>
  <si>
    <t>51单片机串口通信控制仿真设计</t>
  </si>
  <si>
    <t>L094</t>
  </si>
  <si>
    <t>51单片机智能晾衣架仿真设计</t>
  </si>
  <si>
    <t>电机驱动模块</t>
  </si>
  <si>
    <t>L095</t>
  </si>
  <si>
    <t>51单片机病床呼叫(64位病床)系统_LCD显示</t>
  </si>
  <si>
    <t>医疗健康、显示与交互</t>
  </si>
  <si>
    <t>呼叫按键模块、LCD1602显示模块、蜂鸣器</t>
  </si>
  <si>
    <t>L096</t>
  </si>
  <si>
    <t>51单片机煤气浓度检测报警器LCD1602仿真设计</t>
  </si>
  <si>
    <t>L097</t>
  </si>
  <si>
    <t>51单片机校园作息打铃系统仿真设计</t>
  </si>
  <si>
    <t>RTC时钟模块、继电器模块、蜂鸣器</t>
  </si>
  <si>
    <t>L098</t>
  </si>
  <si>
    <t>51单片机红外震动多功能防盗报警系统</t>
  </si>
  <si>
    <t>震动传感器、蜂鸣器</t>
  </si>
  <si>
    <t>L099</t>
  </si>
  <si>
    <t>51单片机温控水杯恒温杯仿真设计</t>
  </si>
  <si>
    <t>L100</t>
  </si>
  <si>
    <t>51单片机自动售货机仿真设计</t>
  </si>
  <si>
    <t>4×4矩阵键盘、红外对管模块、电机驱动模块、数码管显示模块</t>
  </si>
  <si>
    <t>L101</t>
  </si>
  <si>
    <t>51单片机正负5V电压表仿真设计</t>
  </si>
  <si>
    <t>L102</t>
  </si>
  <si>
    <t>51单片机八键电子琴设计</t>
  </si>
  <si>
    <t>L103</t>
  </si>
  <si>
    <t>51单片机心率测量报警设计</t>
  </si>
  <si>
    <t>安防报警、医疗健康、测量仪器</t>
  </si>
  <si>
    <t>心率传感器、数码管显示模块、蜂鸣器</t>
  </si>
  <si>
    <t>L104</t>
  </si>
  <si>
    <t>L105</t>
  </si>
  <si>
    <t>51单片机DHT11温湿度烟雾报警器设计</t>
  </si>
  <si>
    <t>温湿度检测、环境监测、安防报警</t>
  </si>
  <si>
    <t>DHT11温湿度传感器、烟雾传感器、蜂鸣器</t>
  </si>
  <si>
    <t>P系列普中开发板</t>
  </si>
  <si>
    <t>P01</t>
  </si>
  <si>
    <t>51单片机的温度测量报警设计</t>
  </si>
  <si>
    <t>温湿度检测、安防报警、测量仪器</t>
  </si>
  <si>
    <t>温度传感器、数码管显示模块、蜂鸣器</t>
  </si>
  <si>
    <t>P02</t>
  </si>
  <si>
    <t>51单片机直流电机加减速(风扇控制)</t>
  </si>
  <si>
    <t>智能家居、电机控制</t>
  </si>
  <si>
    <t>直流电机驱动模块、按键模块</t>
  </si>
  <si>
    <t>P03</t>
  </si>
  <si>
    <t>51单片机电子钟闹钟_数码管显示设计</t>
  </si>
  <si>
    <t>P04</t>
  </si>
  <si>
    <t>51单片机的简易计算器_数码管</t>
  </si>
  <si>
    <t>P05</t>
  </si>
  <si>
    <t>51单片机的简易计算器_LCD1602显示</t>
  </si>
  <si>
    <t>LCD1602显示模块、4×4矩阵键盘、数码管显示模块</t>
  </si>
  <si>
    <t>P06</t>
  </si>
  <si>
    <t>51单片机的电子钟万年历_LCD1602显示</t>
  </si>
  <si>
    <t>LCD1602显示模块、RTC时钟模块</t>
  </si>
  <si>
    <t>P07</t>
  </si>
  <si>
    <t>51单片机的八位抢答器设计</t>
  </si>
  <si>
    <t>抢答按键模块、数码管显示模块、蜂鸣器、LED指示灯模块</t>
  </si>
  <si>
    <t>P08</t>
  </si>
  <si>
    <t>P09</t>
  </si>
  <si>
    <t>51单片机的篮球计分器计时LCD1602</t>
  </si>
  <si>
    <t>P10</t>
  </si>
  <si>
    <t>51单片机的简易密码锁数码管显示</t>
  </si>
  <si>
    <t>4×4矩阵键盘、电磁锁驱动模块、数码管显示模块</t>
  </si>
  <si>
    <t>P11</t>
  </si>
  <si>
    <t>51单片机的温度报警器_LCD1602上下限</t>
  </si>
  <si>
    <t>温度传感器、LCD1602显示模块、蜂鸣器</t>
  </si>
  <si>
    <t>P12</t>
  </si>
  <si>
    <t>51单片机的电子秒表数码管显示设计</t>
  </si>
  <si>
    <t>P13</t>
  </si>
  <si>
    <t>51单片机的7人多数投票表决器设计</t>
  </si>
  <si>
    <t>P14</t>
  </si>
  <si>
    <t>51单片机的密码锁LCD1602液晶显示设计</t>
  </si>
  <si>
    <t>P15</t>
  </si>
  <si>
    <t>51单片机的DHT11温湿度测量报警</t>
  </si>
  <si>
    <t>DHT11温湿度传感器、数码管显示模块、蜂鸣器</t>
  </si>
  <si>
    <t>P16</t>
  </si>
  <si>
    <t>51单片机的8*8点阵滚动显示设计</t>
  </si>
  <si>
    <t>LED点阵显示模块</t>
  </si>
  <si>
    <t>P17</t>
  </si>
  <si>
    <t>51单片机电子门铃设计</t>
  </si>
  <si>
    <t>P18</t>
  </si>
  <si>
    <t>P19</t>
  </si>
  <si>
    <t>51单片机的四位抢答器数码管仿真设计</t>
  </si>
  <si>
    <t>P20</t>
  </si>
  <si>
    <t>51单片机的超声波测距温度补偿LCD显示设计</t>
  </si>
  <si>
    <t>温湿度检测、超声波测距、显示与交互</t>
  </si>
  <si>
    <t>温度传感器、HC-SR04超声波模块、LCD1602显示模块</t>
  </si>
  <si>
    <t>P21</t>
  </si>
  <si>
    <t>51单片机电子钟闹钟LCD1602显示12-24时制切换</t>
  </si>
  <si>
    <t>P22</t>
  </si>
  <si>
    <t>51单片机电子钟闹钟数码管显示12-24时制切换</t>
  </si>
  <si>
    <t>P23</t>
  </si>
  <si>
    <t>51单片机的矩阵按键电子琴</t>
  </si>
  <si>
    <t>矩阵键盘、蜂鸣器、按键模块</t>
  </si>
  <si>
    <t>P24</t>
  </si>
  <si>
    <t>51单片机贪吃蛇游戏设计</t>
  </si>
  <si>
    <t>P25</t>
  </si>
  <si>
    <t>51单片机LCD1602显示广告牌设计</t>
  </si>
  <si>
    <t>LCD1602显示模块</t>
  </si>
  <si>
    <t>P26</t>
  </si>
  <si>
    <t>51单片机8x8LED点阵广告牌设计</t>
  </si>
  <si>
    <t>P27</t>
  </si>
  <si>
    <t>51单片机双机串口通信LCD1602显示设计</t>
  </si>
  <si>
    <t>P28</t>
  </si>
  <si>
    <t>51单片机电子钟闹钟日期数码管显示设计</t>
  </si>
  <si>
    <t>P29</t>
  </si>
  <si>
    <t>51单片机模拟风扇控制数码管显示设计</t>
  </si>
  <si>
    <t>直流电机驱动模块、数码管显示模块</t>
  </si>
  <si>
    <t>P30</t>
  </si>
  <si>
    <t>51单片机电子钟闹钟带温度LCD显示设计</t>
  </si>
  <si>
    <t>P31</t>
  </si>
  <si>
    <t>51单片机的八位抢答器设计-普中</t>
  </si>
  <si>
    <t>P32</t>
  </si>
  <si>
    <t>51单片机的四位抢答器数码管设计-普中</t>
  </si>
  <si>
    <t>Q系列51抢答器</t>
  </si>
  <si>
    <t>Q001</t>
  </si>
  <si>
    <t>51单片机4位抢答器</t>
  </si>
  <si>
    <t>Q002</t>
  </si>
  <si>
    <t>51单片机5位抢答器</t>
  </si>
  <si>
    <t>Q003</t>
  </si>
  <si>
    <t>51单片机7位抢答器</t>
  </si>
  <si>
    <t>Q004</t>
  </si>
  <si>
    <t>51单片机8位竞赛抢答器_倒计时可调</t>
  </si>
  <si>
    <t>Q005</t>
  </si>
  <si>
    <t>51单片机8路抢答器_跑马灯</t>
  </si>
  <si>
    <t>Q006</t>
  </si>
  <si>
    <t>51单片机8路抢答器_带计分功能</t>
  </si>
  <si>
    <t>Q007</t>
  </si>
  <si>
    <t>51单片机10位抢答器</t>
  </si>
  <si>
    <t>Q008</t>
  </si>
  <si>
    <t>51单片机16位抢答器_带led指示灯</t>
  </si>
  <si>
    <t>Q009</t>
  </si>
  <si>
    <t>51单片机16位抢答器</t>
  </si>
  <si>
    <t>S系列STM32单片机</t>
  </si>
  <si>
    <t>S000</t>
  </si>
  <si>
    <t>基于STM32语音识别柔光台灯</t>
  </si>
  <si>
    <t>智能家居、音频语音</t>
  </si>
  <si>
    <t>语音识别模块、LED灯模块、PWM调光模块</t>
  </si>
  <si>
    <t>仿真计价不含语音识别模块：Proteus无法还原语音识别过程，实物可实现。</t>
  </si>
  <si>
    <t>S001</t>
  </si>
  <si>
    <t>基于STM32语音识别蓝牙音响音箱</t>
  </si>
  <si>
    <t>语音识别模块、蓝牙模块、音频播放模块、音频功放模块</t>
  </si>
  <si>
    <t>仿真计价不含语音识别模块、蓝牙模块：Proteus无法还原语音识别过程，实物可实现；Proteus不便模拟手机蓝牙通信，实物可实现。</t>
  </si>
  <si>
    <t>S002</t>
  </si>
  <si>
    <t>基于STM32物联网WiFi云平台温湿度烟雾报警器</t>
  </si>
  <si>
    <t>温湿度检测、环境监测、安防报警、物联网</t>
  </si>
  <si>
    <t>ESP8266 WiFi模块、DHT11温湿度传感器、烟雾传感器、蜂鸣器</t>
  </si>
  <si>
    <t>仿真上不了云，实物可以；仿真计价不含ESP8266 WiFi模块：Proteus缺少稳定可用的通信模型，实物可实现无线通信。</t>
  </si>
  <si>
    <t>S003</t>
  </si>
  <si>
    <t>基于STM32温湿度烟雾火焰安防物联网WiFi云平台</t>
  </si>
  <si>
    <t>ESP8266 WiFi模块、DHT11温湿度传感器、烟雾传感器、火焰传感器</t>
  </si>
  <si>
    <t>S004</t>
  </si>
  <si>
    <t>基于STM32大棚温湿度土壤湿度自动灌溉WIFI远程</t>
  </si>
  <si>
    <t>温湿度检测、农业控制、物联网</t>
  </si>
  <si>
    <t>ESP8266 WiFi模块、DHT11温湿度传感器、土壤湿度传感器、继电器模块、水泵模块</t>
  </si>
  <si>
    <t>S005</t>
  </si>
  <si>
    <t>STM32单片机16*16点阵屏广告牌滚动显示仿真</t>
  </si>
  <si>
    <t>S006</t>
  </si>
  <si>
    <t>STM32病床呼叫系统LCD显示仿真</t>
  </si>
  <si>
    <t>S007</t>
  </si>
  <si>
    <t>STM32电子秤LCD显示仿真</t>
  </si>
  <si>
    <t>S008</t>
  </si>
  <si>
    <t>STM32简易信号发生器DDS可调幅度频率</t>
  </si>
  <si>
    <t>S009</t>
  </si>
  <si>
    <t>STM32数字秒表OLED显示</t>
  </si>
  <si>
    <t>OLED显示模块、按键模块</t>
  </si>
  <si>
    <t>S010</t>
  </si>
  <si>
    <t>STM32远程温湿度采集监测报警OLED显示</t>
  </si>
  <si>
    <t>温湿度检测、安防报警、显示与交互、物联网</t>
  </si>
  <si>
    <t>ESP8266 WiFi模块、DHT11温湿度传感器、OLED显示模块、蜂鸣器</t>
  </si>
  <si>
    <t>S011</t>
  </si>
  <si>
    <t>STM32单片机光照检测智能调光系统</t>
  </si>
  <si>
    <t>光敏传感器、数码管显示模块</t>
  </si>
  <si>
    <t>S012</t>
  </si>
  <si>
    <t>STM32物联网WiFi火灾烟雾安防自动灭火报警器</t>
  </si>
  <si>
    <t>环境监测、安防报警、物联网</t>
  </si>
  <si>
    <t>ESP8266 WiFi模块、烟雾传感器、火焰传感器、蜂鸣器</t>
  </si>
  <si>
    <t>S013</t>
  </si>
  <si>
    <t>STM32远程WIFI温湿度烟雾监测报警OLED显示</t>
  </si>
  <si>
    <t>温湿度检测、环境监测、安防报警、显示与交互、物联网</t>
  </si>
  <si>
    <t>ESP8266 WiFi模块、DHT11温湿度传感器、烟雾传感器、OLED显示模块、蜂鸣器</t>
  </si>
  <si>
    <t>S014</t>
  </si>
  <si>
    <t>STM32温室大棚环境监测与智能调控系统</t>
  </si>
  <si>
    <t>环境监测、农业控制</t>
  </si>
  <si>
    <t>DHT11温湿度传感器、土壤湿度传感器、继电器模块、水泵模块、数码管显示模块</t>
  </si>
  <si>
    <t>S015</t>
  </si>
  <si>
    <t>基于STM32的温湿度防盗安防报警器</t>
  </si>
  <si>
    <t>DHT11温湿度传感器、蜂鸣器</t>
  </si>
  <si>
    <t>S016</t>
  </si>
  <si>
    <t>基于STM32的简易数字电流表</t>
  </si>
  <si>
    <t>S017</t>
  </si>
  <si>
    <t>基于STM32的可燃气体测量报警仿真设计</t>
  </si>
  <si>
    <t>环境监测、安防报警、测量仪器</t>
  </si>
  <si>
    <t>S018</t>
  </si>
  <si>
    <t>基于STM32的简易晾衣架控制仿真设计</t>
  </si>
  <si>
    <t>S019</t>
  </si>
  <si>
    <t>基于STM32的多参数水温水质检测报警仿真设计</t>
  </si>
  <si>
    <t>pH传感器、浊度传感器、防水温度传感器、数码管显示模块、蜂鸣器</t>
  </si>
  <si>
    <t>S020</t>
  </si>
  <si>
    <t>基于STM32火灾烟雾浓度测量报警设计OLED显示</t>
  </si>
  <si>
    <t>环境监测、安防报警、显示与交互、测量仪器</t>
  </si>
  <si>
    <t>烟雾传感器、火焰传感器、OLED显示模块、蜂鸣器</t>
  </si>
  <si>
    <t>S021</t>
  </si>
  <si>
    <t>基于STM32酒精浓度测量酒驾检测报警OLED显示</t>
  </si>
  <si>
    <t>安防报警、显示与交互、测量仪器</t>
  </si>
  <si>
    <t>酒精传感器、OLED显示模块、蜂鸣器</t>
  </si>
  <si>
    <t>S022</t>
  </si>
  <si>
    <t>基于STM32超声波倒车雷达测距报警_OLED显示</t>
  </si>
  <si>
    <t>超声波测距、安防报警、显示与交互</t>
  </si>
  <si>
    <t>HC-SR04超声波模块、OLED显示模块、蜂鸣器</t>
  </si>
  <si>
    <t>S023</t>
  </si>
  <si>
    <t>基于STM32的电子钟万年历闹钟设计_OLED显示</t>
  </si>
  <si>
    <t>OLED显示模块、RTC时钟模块</t>
  </si>
  <si>
    <t>S024</t>
  </si>
  <si>
    <t>基于STM32的温湿度测量报警系统仿真设计</t>
  </si>
  <si>
    <t>S025</t>
  </si>
  <si>
    <t>基于STM32的简易计算器设计_OLED显示</t>
  </si>
  <si>
    <t>OLED显示模块、4×4矩阵键盘、数码管显示模块</t>
  </si>
  <si>
    <t>S026</t>
  </si>
  <si>
    <t>基于STM32的简易计算器设计_LCD1602显示</t>
  </si>
  <si>
    <t>S027</t>
  </si>
  <si>
    <t>基于STM32的电子琴音乐播放器控制系统仿真设计</t>
  </si>
  <si>
    <t>S028</t>
  </si>
  <si>
    <t>基于STM32的DHT11温湿度控制LCD1602显示仿真</t>
  </si>
  <si>
    <t>S029</t>
  </si>
  <si>
    <t>基于STM32的DHT11温湿度远程监测LCD1602显示</t>
  </si>
  <si>
    <t>温湿度检测、显示与交互、物联网</t>
  </si>
  <si>
    <t>ESP8266 WiFi模块、DHT11温湿度传感器、LCD1602显示模块</t>
  </si>
  <si>
    <t>S030</t>
  </si>
  <si>
    <t>基于STM32的DS18B20温度远程监测LCD1602显示</t>
  </si>
  <si>
    <t>ESP8266 WiFi模块、DS18B20温度传感器、LCD1602显示模块</t>
  </si>
  <si>
    <t>S031</t>
  </si>
  <si>
    <t>基于STM32的6路抢答器Proteus仿真设计</t>
  </si>
  <si>
    <t>S032</t>
  </si>
  <si>
    <t>基于STM32的电容电阻测量Proteus仿真设计</t>
  </si>
  <si>
    <t>S033</t>
  </si>
  <si>
    <t>基于STM32的电阻测量_NE555振荡电路仿真设计</t>
  </si>
  <si>
    <t>S034</t>
  </si>
  <si>
    <t>基于STM32智能台灯仿真_自动亮度久坐提醒</t>
  </si>
  <si>
    <t>光敏传感器、LED灯模块、PWM调光模块</t>
  </si>
  <si>
    <t>S035</t>
  </si>
  <si>
    <t>基于STM32光照测量报警仿真设计</t>
  </si>
  <si>
    <t>光敏传感器、数码管显示模块、蜂鸣器</t>
  </si>
  <si>
    <t>S036</t>
  </si>
  <si>
    <t>基于STM32的居家环境(温湿度火灾烟雾可燃气体)监测仿真设计LCD1602显示</t>
  </si>
  <si>
    <t>温湿度检测、环境监测、显示与交互</t>
  </si>
  <si>
    <t>DHT11温湿度传感器、烟雾传感器、火焰传感器、可燃气体传感器、LCD1602显示模块</t>
  </si>
  <si>
    <t>S037</t>
  </si>
  <si>
    <t>基于STM32的温湿度光照强度监测LCD1602仿真</t>
  </si>
  <si>
    <t>DHT11温湿度传感器、光敏传感器、LCD1602显示模块</t>
  </si>
  <si>
    <t>S038</t>
  </si>
  <si>
    <t>基于STM32的简易温控系统LCD1602显示仿真</t>
  </si>
  <si>
    <t>温度传感器、继电器模块、LCD1602显示模块</t>
  </si>
  <si>
    <t>S039</t>
  </si>
  <si>
    <t>基于STM32智能灯光控制系统设计</t>
  </si>
  <si>
    <t>S040</t>
  </si>
  <si>
    <t>基于STM32两路电压测量仿真设计</t>
  </si>
  <si>
    <t>S041</t>
  </si>
  <si>
    <t>基于STM32冰箱冷藏室控制系统</t>
  </si>
  <si>
    <t>S042</t>
  </si>
  <si>
    <t>基于STM32电子钟闹钟数码管显示</t>
  </si>
  <si>
    <t>S043</t>
  </si>
  <si>
    <t>基于STM32心形花样流水灯跑马灯</t>
  </si>
  <si>
    <t>S044</t>
  </si>
  <si>
    <t>基于STM32篮球计分器数码管显示</t>
  </si>
  <si>
    <t>S045</t>
  </si>
  <si>
    <t>基于STM32的倒计时数码管显示设计</t>
  </si>
  <si>
    <t>S046</t>
  </si>
  <si>
    <t>基于STM32计时秒表精度0.01秒设计</t>
  </si>
  <si>
    <t>S047</t>
  </si>
  <si>
    <t>基于STM32简易出租车计费仿真设计AES 0</t>
  </si>
  <si>
    <t>S048</t>
  </si>
  <si>
    <t>基于STM32的温控风扇Proteus仿真设计 AES 0</t>
  </si>
  <si>
    <t>S049</t>
  </si>
  <si>
    <t>基于STM32的火灾烟雾检测报警器仿真设计1</t>
  </si>
  <si>
    <t>烟雾传感器、火焰传感器、数码管显示模块、蜂鸣器</t>
  </si>
  <si>
    <t>S050</t>
  </si>
  <si>
    <t>基于STM32温度报警器LCD1602显示仿真_可调温</t>
  </si>
  <si>
    <t>温度传感器、LCD1602显示模块、按键模块、蜂鸣器</t>
  </si>
  <si>
    <t>S051</t>
  </si>
  <si>
    <t>基于STM32按键控制LED仿真设计</t>
  </si>
  <si>
    <t>LED灯模块、按键模块</t>
  </si>
  <si>
    <t>S052</t>
  </si>
  <si>
    <t>基于STM32的液晶LCD1602显示仿真</t>
  </si>
  <si>
    <t>S053</t>
  </si>
  <si>
    <t>基于STM32的八位数码管显示仿真</t>
  </si>
  <si>
    <t>数码管显示模块</t>
  </si>
  <si>
    <t>S054</t>
  </si>
  <si>
    <t>基于STM32八位抢答器仿真设计</t>
  </si>
  <si>
    <t>S055</t>
  </si>
  <si>
    <t>S056</t>
  </si>
  <si>
    <t>基于STM32气压报警仿真设计</t>
  </si>
  <si>
    <t>压力传感器、蜂鸣器</t>
  </si>
  <si>
    <t>S057</t>
  </si>
  <si>
    <t>基于STM32简易计算器仿真设计</t>
  </si>
  <si>
    <t>S058</t>
  </si>
  <si>
    <t>基于STM32土壤湿度检测自动浇水仿真设计</t>
  </si>
  <si>
    <t>S059</t>
  </si>
  <si>
    <t>基于STM32温湿度测量报警仿真设计</t>
  </si>
  <si>
    <t>S060</t>
  </si>
  <si>
    <t>基于STM32水位检测控制系统仿真设计</t>
  </si>
  <si>
    <t>水位传感器、继电器模块、水泵模块、数码管显示模块</t>
  </si>
  <si>
    <t>S061</t>
  </si>
  <si>
    <t>基于STM32的烟雾浓度检测报警仿真设计</t>
  </si>
  <si>
    <t>S062</t>
  </si>
  <si>
    <t>基于STM32的空气质量检测报警仿真设计</t>
  </si>
  <si>
    <t>空气质量传感器、数码管显示模块、蜂鸣器</t>
  </si>
  <si>
    <t>S063</t>
  </si>
  <si>
    <t>基于STM32甲醛浓度检测报警仿真设计</t>
  </si>
  <si>
    <t>甲醛传感器、数码管显示模块、蜂鸣器</t>
  </si>
  <si>
    <t>S064</t>
  </si>
  <si>
    <t>基于STM32酒精浓度检测报警仿真设计</t>
  </si>
  <si>
    <t>酒精传感器、数码管显示模块、蜂鸣器</t>
  </si>
  <si>
    <t>S065</t>
  </si>
  <si>
    <t>基于STM32可燃气体(煤气天然气)监测报警仿真设计</t>
  </si>
  <si>
    <t>S066</t>
  </si>
  <si>
    <t>基于STM32的简易电压表仿真设计</t>
  </si>
  <si>
    <t>S067</t>
  </si>
  <si>
    <t>基于STM32的简易数字频率计仿真设计</t>
  </si>
  <si>
    <t>频率测量模块、数码管显示模块</t>
  </si>
  <si>
    <t>S068</t>
  </si>
  <si>
    <t>基于STM32的简易电子秒表仿真设计</t>
  </si>
  <si>
    <t>S069</t>
  </si>
  <si>
    <t>基于STM32的水质浑浊度和PH值监测系统设计</t>
  </si>
  <si>
    <t>pH传感器、浊度传感器、数码管显示模块</t>
  </si>
  <si>
    <t>S070</t>
  </si>
  <si>
    <t>基于STM32的DHT11温湿度控制系统仿真设计</t>
  </si>
  <si>
    <t>DHT11温湿度传感器、继电器模块</t>
  </si>
  <si>
    <t>S071</t>
  </si>
  <si>
    <t>基于STM32的波形信号发生器proteus仿真设计</t>
  </si>
  <si>
    <t>S072</t>
  </si>
  <si>
    <t>基于STM32光敏检测自动智能窗帘控制系统仿真</t>
  </si>
  <si>
    <t>光敏传感器、步进电机驱动模块、数码管显示模块</t>
  </si>
  <si>
    <t>S073</t>
  </si>
  <si>
    <t>基于STM32交通灯仿真设计</t>
  </si>
  <si>
    <t>S074</t>
  </si>
  <si>
    <t>基于STM32六路DS18B20温度监测报警</t>
  </si>
  <si>
    <t>DS18B20温度传感器、数码管显示模块、蜂鸣器</t>
  </si>
  <si>
    <t>S075</t>
  </si>
  <si>
    <t>基于STM32单片机RLC检测仪设计</t>
  </si>
  <si>
    <t>S076</t>
  </si>
  <si>
    <t>基于STM32电子秤电路</t>
  </si>
  <si>
    <t>S077</t>
  </si>
  <si>
    <t>基于STM32的DS18B20温度监控报警系统</t>
  </si>
  <si>
    <t>DS18B20温度传感器、蜂鸣器</t>
  </si>
  <si>
    <t>S078</t>
  </si>
  <si>
    <t>基于STM32水位检测</t>
  </si>
  <si>
    <t>水位传感器、数码管显示模块</t>
  </si>
  <si>
    <t>S079</t>
  </si>
  <si>
    <t>基于STM32单片机CO气体检测</t>
  </si>
  <si>
    <t>一氧化碳传感器、数码管显示模块</t>
  </si>
  <si>
    <t>S080</t>
  </si>
  <si>
    <t>基于STM32温湿度采集</t>
  </si>
  <si>
    <t>DHT11温湿度传感器</t>
  </si>
  <si>
    <t>S081</t>
  </si>
  <si>
    <t>基于STM32超声波测距 HC-SR04</t>
  </si>
  <si>
    <t>HC-SR04超声波模块</t>
  </si>
  <si>
    <t>S082</t>
  </si>
  <si>
    <t>基于STM32矩阵电子密码锁</t>
  </si>
  <si>
    <t>4×4矩阵键盘、电磁锁驱动模块</t>
  </si>
  <si>
    <t>S083</t>
  </si>
  <si>
    <t>基于STM32大棚DHT11温湿度监测</t>
  </si>
  <si>
    <t>S084</t>
  </si>
  <si>
    <t>基于STM32的BMP180气压传感器</t>
  </si>
  <si>
    <t>BMP180气压传感器、压力传感器</t>
  </si>
  <si>
    <t>S085</t>
  </si>
  <si>
    <t>基于STM32控制直流电机加减速正反转设计</t>
  </si>
  <si>
    <t>S086</t>
  </si>
  <si>
    <t>基于STM32智能窗帘控制仿真</t>
  </si>
  <si>
    <t>S087</t>
  </si>
  <si>
    <t>基于STM32电子钟万年历仿真</t>
  </si>
  <si>
    <t>S088</t>
  </si>
  <si>
    <t>基于STM32F103智能垃圾桶 1</t>
  </si>
  <si>
    <t>STM32F103</t>
  </si>
  <si>
    <t>S089</t>
  </si>
  <si>
    <t>基于STM32手势识别智能家居系统 1</t>
  </si>
  <si>
    <t>手势识别传感器、继电器模块</t>
  </si>
  <si>
    <t>仿真计价不含手势识别传感器：Proteus缺少可用模型，实物可实现。</t>
  </si>
  <si>
    <t>S090</t>
  </si>
  <si>
    <t>基于STM32喂食器-光照-高亮-wifi-ULN2003 1</t>
  </si>
  <si>
    <t>环境监测、智能家居、物联网</t>
  </si>
  <si>
    <t>ESP8266 WiFi模块、光敏传感器、舵机驱动模块、RTC时钟模块</t>
  </si>
  <si>
    <t>S091</t>
  </si>
  <si>
    <t>基于STM32智能蓝牙APP定时开关插座喂食器药盒 1</t>
  </si>
  <si>
    <t>蓝牙模块、舵机驱动模块、RTC时钟模块</t>
  </si>
  <si>
    <t>仿真计价不含蓝牙模块：Proteus不便模拟手机蓝牙通信，实物可实现。</t>
  </si>
  <si>
    <t>S092</t>
  </si>
  <si>
    <t>基于STM32智能公交车地铁语音报站器系统 1</t>
  </si>
  <si>
    <t>S093</t>
  </si>
  <si>
    <t>基于STM32酒精检测防酒驾系统酒精报警器 1</t>
  </si>
  <si>
    <t>S094</t>
  </si>
  <si>
    <t>基于STM32手机WIFI无线APP控灯亮灭亮度系统 1</t>
  </si>
  <si>
    <t>物联网</t>
  </si>
  <si>
    <t>ESP8266 WiFi模块、光敏传感器</t>
  </si>
  <si>
    <t>S095</t>
  </si>
  <si>
    <t>基于STM32射频RFID停车收费系统 1</t>
  </si>
  <si>
    <t>S096</t>
  </si>
  <si>
    <t>基于STM32电子密码锁 1</t>
  </si>
  <si>
    <t>S097</t>
  </si>
  <si>
    <t>基于STM32人脸识别系统 1</t>
  </si>
  <si>
    <t>摄像头模块、人脸识别模块</t>
  </si>
  <si>
    <t>仿真计价不含摄像头模块、人脸识别模块：Proteus无法采集真实图像，实物可实现；Proteus无法运行真实人脸识别流程，实物可实现。</t>
  </si>
  <si>
    <t>S098</t>
  </si>
  <si>
    <t>基于STM32汽车温度空调控制系统 1</t>
  </si>
  <si>
    <t>温度传感器、继电器模块、制冷驱动模块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</si>
  <si>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</si>
  <si>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</si>
  <si>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</si>
  <si>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</si>
  <si>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</si>
  <si>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</si>
  <si>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</si>
  <si>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</si>
  <si>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</si>
  <si>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</si>
  <si>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</si>
  <si>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基于STM32物联网WiFi智能家居控制系统</t>
  </si>
  <si>
    <t>智能家居、物联网</t>
  </si>
  <si>
    <t>ESP8266 WiFi模块、继电器模块</t>
  </si>
  <si>
    <t>S110</t>
  </si>
  <si>
    <t>基于STM32模拟电磁炮设计</t>
  </si>
  <si>
    <t>升压模块、电容储能模块、MOSFET驱动模块</t>
  </si>
  <si>
    <t>S111</t>
  </si>
  <si>
    <t>基于STM32单片机Labview空气质量监测</t>
  </si>
  <si>
    <t>空气质量传感器、串口通信模块</t>
  </si>
  <si>
    <t>S112</t>
  </si>
  <si>
    <t>基于STM32物联网智能鱼缸智能家居系统</t>
  </si>
  <si>
    <t>ESP8266 WiFi模块、水位传感器、继电器模块、水泵模块</t>
  </si>
  <si>
    <t>S113</t>
  </si>
  <si>
    <t>基于STM32老人防跌倒报警GSM短信GPS定位设计</t>
  </si>
  <si>
    <t>GPS定位模块、GSM通信模块、蜂鸣器</t>
  </si>
  <si>
    <t>仿真计价不含GPS定位模块、GSM通信模块：Proteus无法提供真实定位数据，实物可实现；Proteus无法完成短信网络通信，实物可实现。</t>
  </si>
  <si>
    <t>S114</t>
  </si>
  <si>
    <t>51单片机的交流电流检测系统设计</t>
  </si>
  <si>
    <t>S115</t>
  </si>
  <si>
    <t>基于STM32紫外线强度检测仪器蜂鸣器报警</t>
  </si>
  <si>
    <t>紫外线传感器、数码管显示模块、蜂鸣器</t>
  </si>
  <si>
    <t>S116</t>
  </si>
  <si>
    <t>基于STM32智能充电桩计费系统的设计</t>
  </si>
  <si>
    <t>RFID读卡模块、电能计量模块、继电器模块、LCD1602显示模块</t>
  </si>
  <si>
    <t>S117</t>
  </si>
  <si>
    <t>基于STM32智能跟随小车_红外遥控</t>
  </si>
  <si>
    <t>红外循迹传感器、红外遥控接收模块、电机驱动模块</t>
  </si>
  <si>
    <t>S118</t>
  </si>
  <si>
    <t>基于STM32与ATT7022E多功能电力监测仪电路方案</t>
  </si>
  <si>
    <t>ATT7022E电能计量模块、电流互感器模块、LCD1602显示模块</t>
  </si>
  <si>
    <t>S119</t>
  </si>
  <si>
    <t>三电极体系 弱电流检测</t>
  </si>
  <si>
    <t>综合与其他</t>
  </si>
  <si>
    <t>微弱电流检测模块、跨阻放大模块、ADC采样模块</t>
  </si>
  <si>
    <t>S120</t>
  </si>
  <si>
    <t>STM32三相SPWM逆变电源设计</t>
  </si>
  <si>
    <t>三相逆变驱动模块、功率MOSFET模块、电压电流采样模块</t>
  </si>
  <si>
    <t>S121</t>
  </si>
  <si>
    <t>基于STM32的六路抢答器仿真</t>
  </si>
  <si>
    <t>S122</t>
  </si>
  <si>
    <t>基于STM32的八位抢答器仿真</t>
  </si>
  <si>
    <t>X系列</t>
  </si>
  <si>
    <t>X00</t>
  </si>
  <si>
    <t>大功率直流电机驱动模块设计方案  0</t>
  </si>
  <si>
    <t>大功率电机驱动模块、功率MOSFET模块、PWM控制模块</t>
  </si>
  <si>
    <t>X01</t>
  </si>
  <si>
    <t>三电极体系电化学测量模组（恒电位仪、IV转换、微弱电流）</t>
  </si>
  <si>
    <t>恒电位控制模块、跨阻放大模块、ADC采样模块</t>
  </si>
  <si>
    <t>计价项</t>
  </si>
  <si>
    <t>金额</t>
  </si>
  <si>
    <t>仿真服务费</t>
  </si>
  <si>
    <t>仿真模块费</t>
  </si>
  <si>
    <t>PCB设计服务费</t>
  </si>
  <si>
    <t>PCB模块费</t>
  </si>
  <si>
    <t>单项文档费</t>
  </si>
  <si>
    <t>全套文档费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</si>
</sst>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_);[Red]\(&quot;￥&quot;#,##0\)"/>
  </numFmts>
  <fonts count="25">
    <font>
      <sz val="11"/>
      <name val="Carlito"/>
      <charset val="134"/>
    </font>
    <font>
      <sz val="11"/>
      <color rgb="FF0000FF"/>
      <name val="Carlito"/>
      <charset val="134"/>
    </font>
    <font>
      <b/>
      <sz val="10"/>
      <color rgb="FFFFFFFF"/>
      <name val="Microsoft YaHei"/>
      <charset val="134"/>
    </font>
    <font>
      <sz val="10"/>
      <color rgb="FF17324D"/>
      <name val="Microsoft YaHei"/>
      <charset val="134"/>
    </font>
    <font>
      <sz val="12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3A5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03A56"/>
      </left>
      <right/>
      <top style="thin">
        <color rgb="FF103A56"/>
      </top>
      <bottom style="thin">
        <color rgb="FF103A56"/>
      </bottom>
      <diagonal/>
    </border>
    <border>
      <left/>
      <right/>
      <top style="thin">
        <color rgb="FF103A56"/>
      </top>
      <bottom style="thin">
        <color rgb="FF103A56"/>
      </bottom>
      <diagonal/>
    </border>
    <border>
      <left/>
      <right style="thin">
        <color rgb="FF103A56"/>
      </right>
      <top style="thin">
        <color rgb="FF103A56"/>
      </top>
      <bottom style="thin">
        <color rgb="FF103A5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 applyAlignment="1"/>
    <xf numFmtId="0" fontId="1" fillId="0" borderId="0" xfId="0" applyFont="1" applyAlignment="1"/>
    <xf numFmtId="0" fontId="0" fillId="0" borderId="0" xfId="49"/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 wrapText="1"/>
    </xf>
    <xf numFmtId="176" fontId="2" fillId="2" borderId="2" xfId="49" applyNumberFormat="1" applyFont="1" applyFill="1" applyBorder="1" applyAlignment="1">
      <alignment horizontal="center" vertical="center"/>
    </xf>
    <xf numFmtId="0" fontId="2" fillId="2" borderId="3" xfId="49" applyFont="1" applyFill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0" fontId="3" fillId="0" borderId="0" xfId="49" applyFont="1" applyAlignment="1">
      <alignment vertical="center" wrapText="1"/>
    </xf>
    <xf numFmtId="0" fontId="3" fillId="0" borderId="0" xfId="49" applyFont="1" applyAlignment="1">
      <alignment horizontal="center" vertical="center" wrapText="1"/>
    </xf>
    <xf numFmtId="176" fontId="3" fillId="0" borderId="0" xfId="49" applyNumberFormat="1" applyFont="1" applyAlignment="1">
      <alignment horizontal="center" vertical="center"/>
    </xf>
    <xf numFmtId="1" fontId="3" fillId="0" borderId="0" xfId="49" applyNumberFormat="1" applyFont="1" applyAlignment="1">
      <alignment horizontal="center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8">
    <dxf/>
    <dxf/>
    <dxf>
      <alignment horizontal="center"/>
    </dxf>
    <dxf/>
    <dxf/>
    <dxf/>
    <dxf/>
    <dxf/>
    <dxf/>
    <dxf/>
    <dxf/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/>
    <dxf/>
    <dxf>
      <font>
        <b val="1"/>
        <color rgb="FF087F5B"/>
      </font>
      <fill>
        <patternFill patternType="solid">
          <bgColor rgb="FFE4F6E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LinkList" displayName="ProjectLinkList" ref="A1:T361" totalsRowShown="0">
  <autoFilter xmlns:etc="http://www.wps.cn/officeDocument/2017/etCustomData" ref="A1:T361" etc:filterBottomFollowUsedRange="0"/>
  <sortState ref="A1:T361">
    <sortCondition ref="B2"/>
  </sortState>
  <tableColumns count="20">
    <tableColumn id="1" name="序号" dataDxfId="0">
      <calculatedColumnFormula>IF(B2&lt;&gt;"",ROW()-1,"")</calculatedColumnFormula>
    </tableColumn>
    <tableColumn id="2" name="项目系列" dataDxfId="1"/>
    <tableColumn id="3" name="项目编号" dataDxfId="2"/>
    <tableColumn id="4" name="项目名称" dataDxfId="3"/>
    <tableColumn id="5" name="单片机分类" dataDxfId="4"/>
    <tableColumn id="6" name="单片机型号" dataDxfId="5"/>
    <tableColumn id="7" name="项目用途" dataDxfId="6"/>
    <tableColumn id="8" name="使用模块" dataDxfId="7"/>
    <tableColumn id="18" name="仿真图片" dataDxfId="8"/>
    <tableColumn id="17" name="实物图片" dataDxfId="9"/>
    <tableColumn id="9" name="项目简介" dataDxfId="10"/>
    <tableColumn id="11" name="仿真+仿真代码" dataDxfId="11"/>
    <tableColumn id="21" name="原理图+PCB设计" dataDxfId="12"/>
    <tableColumn id="12" name="硬件实物+配套硬件代码" dataDxfId="13"/>
    <tableColumn id="22" name="成果书" dataDxfId="14"/>
    <tableColumn id="14" name="任务书" dataDxfId="15"/>
    <tableColumn id="20" name="PPT送答辩模板" dataDxfId="16"/>
    <tableColumn id="13" name="成果书+任务书+PPT+答辩模板+过AI+过查重" dataDxfId="17"/>
    <tableColumn id="15" name="是否展示" dataDxfId="18"/>
    <tableColumn id="16" name="排序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1"/>
  <sheetViews>
    <sheetView showGridLines="0" tabSelected="1" workbookViewId="0">
      <pane xSplit="1" ySplit="1" topLeftCell="K350" activePane="bottomRight" state="frozen"/>
      <selection/>
      <selection pane="topRight"/>
      <selection pane="bottomLeft"/>
      <selection pane="bottomRight" activeCell="R356" sqref="R356"/>
    </sheetView>
  </sheetViews>
  <sheetFormatPr defaultColWidth="9" defaultRowHeight="13.8"/>
  <cols>
    <col min="1" max="1" width="5.26666666666667" customWidth="1"/>
    <col min="2" max="2" width="19.2666666666667" customWidth="1"/>
    <col min="3" max="3" width="9" customWidth="1"/>
    <col min="4" max="4" width="64.725" customWidth="1"/>
    <col min="5" max="5" width="11" customWidth="1"/>
    <col min="6" max="6" width="11.45" customWidth="1"/>
    <col min="7" max="7" width="47.1833333333333" customWidth="1"/>
    <col min="8" max="10" width="57.8166666666667" customWidth="1"/>
    <col min="11" max="11" width="21.1833333333333" customWidth="1"/>
    <col min="12" max="12" width="14.725" customWidth="1"/>
    <col min="13" max="17" width="16.8166666666667" customWidth="1"/>
    <col min="18" max="18" width="44.2666666666667" customWidth="1"/>
    <col min="19" max="19" width="9" customWidth="1"/>
    <col min="20" max="20" width="5.26666666666667" customWidth="1"/>
  </cols>
  <sheetData>
    <row r="1" ht="34" customHeight="1" spans="1:2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4" t="s">
        <v>18</v>
      </c>
      <c r="T1" s="7" t="s">
        <v>19</v>
      </c>
    </row>
    <row r="2" s="2" customFormat="1" ht="26" customHeight="1" spans="1:20">
      <c r="A2" s="8">
        <f t="shared" ref="A2:A65" si="0">IF(B2&lt;&gt;"",ROW()-1,"")</f>
        <v>1</v>
      </c>
      <c r="B2" s="8" t="s">
        <v>20</v>
      </c>
      <c r="C2" s="9" t="s">
        <v>21</v>
      </c>
      <c r="D2" s="10" t="s">
        <v>22</v>
      </c>
      <c r="E2" s="11" t="s">
        <v>23</v>
      </c>
      <c r="F2" s="11"/>
      <c r="G2" s="10" t="s">
        <v>24</v>
      </c>
      <c r="H2" s="10" t="s">
        <v>25</v>
      </c>
      <c r="I2" s="10"/>
      <c r="J2" s="10"/>
      <c r="K2" s="10"/>
      <c r="L2" s="12">
        <f>计价规则!$B$2+计价规则!$B$3*MAX(0,IF(H2="",0,LEN(H2)-LEN(SUBSTITUTE(H2,"、",""))+1)-(IF(ISNUMBER(SEARCH("WiFi通信模块",H2)),1,0)+IF(ISNUMBER(SEARCH("ESP8266 WiFi模块",H2)),1,0)+IF(ISNUMBER(SEARCH("NRF24L01无线通信模块",H2)),1,0)+IF(ISNUMBER(SEARCH("蓝牙模块",H2)),1,0)+IF(ISNUMBER(SEARCH("语音识别模块",H2)),1,0)+IF(ISNUMBER(SEARCH("语音播报模块",H2)),1,0)+IF(ISNUMBER(SEARCH("RFID模块",H2)),1,0)+IF(ISNUMBER(SEARCH("RFID读卡模块",H2)),1,0)+IF(ISNUMBER(SEARCH("GPS定位模块",H2)),1,0)+IF(ISNUMBER(SEARCH("GSM通信模块",H2)),1,0)+IF(ISNUMBER(SEARCH("摄像头模块",H2)),1,0)+IF(ISNUMBER(SEARCH("人脸识别模块",H2)),1,0)+IF(ISNUMBER(SEARCH("手势识别传感器",H2)),1,0)))</f>
        <v>90</v>
      </c>
      <c r="M2" s="12">
        <f>计价规则!$B$4+计价规则!$B$5*IF(H2="",0,LEN(H2)-LEN(SUBSTITUTE(H2,"、",""))+1)</f>
        <v>90</v>
      </c>
      <c r="N2" s="12"/>
      <c r="O2" s="12">
        <f>计价规则!$B$6</f>
        <v>100</v>
      </c>
      <c r="P2" s="12">
        <f>计价规则!$B$6</f>
        <v>100</v>
      </c>
      <c r="Q2" s="12">
        <f>计价规则!$B$6</f>
        <v>100</v>
      </c>
      <c r="R2" s="12">
        <f>计价规则!$B$7</f>
        <v>400</v>
      </c>
      <c r="S2" s="8" t="s">
        <v>26</v>
      </c>
      <c r="T2" s="13">
        <v>1</v>
      </c>
    </row>
    <row r="3" ht="26" customHeight="1" spans="1:20">
      <c r="A3" s="8">
        <f t="shared" si="0"/>
        <v>2</v>
      </c>
      <c r="B3" s="8" t="s">
        <v>20</v>
      </c>
      <c r="C3" s="9" t="s">
        <v>27</v>
      </c>
      <c r="D3" s="10" t="s">
        <v>28</v>
      </c>
      <c r="E3" s="11" t="s">
        <v>23</v>
      </c>
      <c r="F3" s="11"/>
      <c r="G3" s="10" t="s">
        <v>24</v>
      </c>
      <c r="H3" s="10" t="s">
        <v>29</v>
      </c>
      <c r="I3" s="10"/>
      <c r="J3" s="10"/>
      <c r="K3" s="10" t="s">
        <v>30</v>
      </c>
      <c r="L3" s="12">
        <f>计价规则!$B$2+计价规则!$B$3*MAX(0,IF(H3="",0,LEN(H3)-LEN(SUBSTITUTE(H3,"、",""))+1)-(IF(ISNUMBER(SEARCH("WiFi通信模块",H3)),1,0)+IF(ISNUMBER(SEARCH("ESP8266 WiFi模块",H3)),1,0)+IF(ISNUMBER(SEARCH("NRF24L01无线通信模块",H3)),1,0)+IF(ISNUMBER(SEARCH("蓝牙模块",H3)),1,0)+IF(ISNUMBER(SEARCH("语音识别模块",H3)),1,0)+IF(ISNUMBER(SEARCH("语音播报模块",H3)),1,0)+IF(ISNUMBER(SEARCH("RFID模块",H3)),1,0)+IF(ISNUMBER(SEARCH("RFID读卡模块",H3)),1,0)+IF(ISNUMBER(SEARCH("GPS定位模块",H3)),1,0)+IF(ISNUMBER(SEARCH("GSM通信模块",H3)),1,0)+IF(ISNUMBER(SEARCH("摄像头模块",H3)),1,0)+IF(ISNUMBER(SEARCH("人脸识别模块",H3)),1,0)+IF(ISNUMBER(SEARCH("手势识别传感器",H3)),1,0)))</f>
        <v>90</v>
      </c>
      <c r="M3" s="12">
        <f>计价规则!$B$4+计价规则!$B$5*IF(H3="",0,LEN(H3)-LEN(SUBSTITUTE(H3,"、",""))+1)</f>
        <v>110</v>
      </c>
      <c r="N3" s="12"/>
      <c r="O3" s="12">
        <f>计价规则!$B$6</f>
        <v>100</v>
      </c>
      <c r="P3" s="12">
        <f>计价规则!$B$6</f>
        <v>100</v>
      </c>
      <c r="Q3" s="12">
        <f>计价规则!$B$6</f>
        <v>100</v>
      </c>
      <c r="R3" s="12">
        <f>计价规则!$B$7</f>
        <v>400</v>
      </c>
      <c r="S3" s="8" t="s">
        <v>26</v>
      </c>
      <c r="T3" s="13">
        <v>2</v>
      </c>
    </row>
    <row r="4" ht="26" customHeight="1" spans="1:20">
      <c r="A4" s="8">
        <f t="shared" si="0"/>
        <v>3</v>
      </c>
      <c r="B4" s="8" t="s">
        <v>20</v>
      </c>
      <c r="C4" s="9" t="s">
        <v>31</v>
      </c>
      <c r="D4" s="10" t="s">
        <v>32</v>
      </c>
      <c r="E4" s="11" t="s">
        <v>23</v>
      </c>
      <c r="F4" s="11"/>
      <c r="G4" s="10" t="s">
        <v>24</v>
      </c>
      <c r="H4" s="10" t="s">
        <v>33</v>
      </c>
      <c r="I4" s="10"/>
      <c r="J4" s="10"/>
      <c r="K4" s="10"/>
      <c r="L4" s="12">
        <f>计价规则!$B$2+计价规则!$B$3*MAX(0,IF(H4="",0,LEN(H4)-LEN(SUBSTITUTE(H4,"、",""))+1)-(IF(ISNUMBER(SEARCH("WiFi通信模块",H4)),1,0)+IF(ISNUMBER(SEARCH("ESP8266 WiFi模块",H4)),1,0)+IF(ISNUMBER(SEARCH("NRF24L01无线通信模块",H4)),1,0)+IF(ISNUMBER(SEARCH("蓝牙模块",H4)),1,0)+IF(ISNUMBER(SEARCH("语音识别模块",H4)),1,0)+IF(ISNUMBER(SEARCH("语音播报模块",H4)),1,0)+IF(ISNUMBER(SEARCH("RFID模块",H4)),1,0)+IF(ISNUMBER(SEARCH("RFID读卡模块",H4)),1,0)+IF(ISNUMBER(SEARCH("GPS定位模块",H4)),1,0)+IF(ISNUMBER(SEARCH("GSM通信模块",H4)),1,0)+IF(ISNUMBER(SEARCH("摄像头模块",H4)),1,0)+IF(ISNUMBER(SEARCH("人脸识别模块",H4)),1,0)+IF(ISNUMBER(SEARCH("手势识别传感器",H4)),1,0)))</f>
        <v>105</v>
      </c>
      <c r="M4" s="12">
        <f>计价规则!$B$4+计价规则!$B$5*IF(H4="",0,LEN(H4)-LEN(SUBSTITUTE(H4,"、",""))+1)</f>
        <v>110</v>
      </c>
      <c r="N4" s="12"/>
      <c r="O4" s="12">
        <f>计价规则!$B$6</f>
        <v>100</v>
      </c>
      <c r="P4" s="12">
        <f>计价规则!$B$6</f>
        <v>100</v>
      </c>
      <c r="Q4" s="12">
        <f>计价规则!$B$6</f>
        <v>100</v>
      </c>
      <c r="R4" s="12">
        <f>计价规则!$B$7</f>
        <v>400</v>
      </c>
      <c r="S4" s="8" t="s">
        <v>26</v>
      </c>
      <c r="T4" s="13">
        <v>3</v>
      </c>
    </row>
    <row r="5" ht="26" customHeight="1" spans="1:20">
      <c r="A5" s="8">
        <f t="shared" si="0"/>
        <v>4</v>
      </c>
      <c r="B5" s="8" t="s">
        <v>20</v>
      </c>
      <c r="C5" s="9" t="s">
        <v>34</v>
      </c>
      <c r="D5" s="10" t="s">
        <v>35</v>
      </c>
      <c r="E5" s="11" t="s">
        <v>23</v>
      </c>
      <c r="F5" s="11"/>
      <c r="G5" s="10" t="s">
        <v>36</v>
      </c>
      <c r="H5" s="10" t="s">
        <v>37</v>
      </c>
      <c r="I5" s="10"/>
      <c r="J5" s="10"/>
      <c r="K5" s="10"/>
      <c r="L5" s="12">
        <f>计价规则!$B$2+计价规则!$B$3*MAX(0,IF(H5="",0,LEN(H5)-LEN(SUBSTITUTE(H5,"、",""))+1)-(IF(ISNUMBER(SEARCH("WiFi通信模块",H5)),1,0)+IF(ISNUMBER(SEARCH("ESP8266 WiFi模块",H5)),1,0)+IF(ISNUMBER(SEARCH("NRF24L01无线通信模块",H5)),1,0)+IF(ISNUMBER(SEARCH("蓝牙模块",H5)),1,0)+IF(ISNUMBER(SEARCH("语音识别模块",H5)),1,0)+IF(ISNUMBER(SEARCH("语音播报模块",H5)),1,0)+IF(ISNUMBER(SEARCH("RFID模块",H5)),1,0)+IF(ISNUMBER(SEARCH("RFID读卡模块",H5)),1,0)+IF(ISNUMBER(SEARCH("GPS定位模块",H5)),1,0)+IF(ISNUMBER(SEARCH("GSM通信模块",H5)),1,0)+IF(ISNUMBER(SEARCH("摄像头模块",H5)),1,0)+IF(ISNUMBER(SEARCH("人脸识别模块",H5)),1,0)+IF(ISNUMBER(SEARCH("手势识别传感器",H5)),1,0)))</f>
        <v>90</v>
      </c>
      <c r="M5" s="12">
        <f>计价规则!$B$4+计价规则!$B$5*IF(H5="",0,LEN(H5)-LEN(SUBSTITUTE(H5,"、",""))+1)</f>
        <v>90</v>
      </c>
      <c r="N5" s="12"/>
      <c r="O5" s="12">
        <f>计价规则!$B$6</f>
        <v>100</v>
      </c>
      <c r="P5" s="12">
        <f>计价规则!$B$6</f>
        <v>100</v>
      </c>
      <c r="Q5" s="12">
        <f>计价规则!$B$6</f>
        <v>100</v>
      </c>
      <c r="R5" s="12">
        <f>计价规则!$B$7</f>
        <v>400</v>
      </c>
      <c r="S5" s="8" t="s">
        <v>26</v>
      </c>
      <c r="T5" s="13">
        <v>4</v>
      </c>
    </row>
    <row r="6" ht="26" customHeight="1" spans="1:20">
      <c r="A6" s="8">
        <f t="shared" si="0"/>
        <v>5</v>
      </c>
      <c r="B6" s="8" t="s">
        <v>20</v>
      </c>
      <c r="C6" s="9" t="s">
        <v>38</v>
      </c>
      <c r="D6" s="10" t="s">
        <v>39</v>
      </c>
      <c r="E6" s="11" t="s">
        <v>23</v>
      </c>
      <c r="F6" s="11"/>
      <c r="G6" s="10" t="s">
        <v>40</v>
      </c>
      <c r="H6" s="10" t="s">
        <v>41</v>
      </c>
      <c r="I6" s="10"/>
      <c r="J6" s="10"/>
      <c r="K6" s="10"/>
      <c r="L6" s="12">
        <f>计价规则!$B$2+计价规则!$B$3*MAX(0,IF(H6="",0,LEN(H6)-LEN(SUBSTITUTE(H6,"、",""))+1)-(IF(ISNUMBER(SEARCH("WiFi通信模块",H6)),1,0)+IF(ISNUMBER(SEARCH("ESP8266 WiFi模块",H6)),1,0)+IF(ISNUMBER(SEARCH("NRF24L01无线通信模块",H6)),1,0)+IF(ISNUMBER(SEARCH("蓝牙模块",H6)),1,0)+IF(ISNUMBER(SEARCH("语音识别模块",H6)),1,0)+IF(ISNUMBER(SEARCH("语音播报模块",H6)),1,0)+IF(ISNUMBER(SEARCH("RFID模块",H6)),1,0)+IF(ISNUMBER(SEARCH("RFID读卡模块",H6)),1,0)+IF(ISNUMBER(SEARCH("GPS定位模块",H6)),1,0)+IF(ISNUMBER(SEARCH("GSM通信模块",H6)),1,0)+IF(ISNUMBER(SEARCH("摄像头模块",H6)),1,0)+IF(ISNUMBER(SEARCH("人脸识别模块",H6)),1,0)+IF(ISNUMBER(SEARCH("手势识别传感器",H6)),1,0)))</f>
        <v>120</v>
      </c>
      <c r="M6" s="12">
        <f>计价规则!$B$4+计价规则!$B$5*IF(H6="",0,LEN(H6)-LEN(SUBSTITUTE(H6,"、",""))+1)</f>
        <v>130</v>
      </c>
      <c r="N6" s="12"/>
      <c r="O6" s="12">
        <f>计价规则!$B$6</f>
        <v>100</v>
      </c>
      <c r="P6" s="12">
        <f>计价规则!$B$6</f>
        <v>100</v>
      </c>
      <c r="Q6" s="12">
        <f>计价规则!$B$6</f>
        <v>100</v>
      </c>
      <c r="R6" s="12">
        <f>计价规则!$B$7</f>
        <v>400</v>
      </c>
      <c r="S6" s="8" t="s">
        <v>26</v>
      </c>
      <c r="T6" s="13">
        <v>5</v>
      </c>
    </row>
    <row r="7" ht="26" customHeight="1" spans="1:20">
      <c r="A7" s="8">
        <f t="shared" si="0"/>
        <v>6</v>
      </c>
      <c r="B7" s="8" t="s">
        <v>20</v>
      </c>
      <c r="C7" s="9" t="s">
        <v>42</v>
      </c>
      <c r="D7" s="10" t="s">
        <v>43</v>
      </c>
      <c r="E7" s="11" t="s">
        <v>23</v>
      </c>
      <c r="F7" s="11"/>
      <c r="G7" s="10" t="s">
        <v>24</v>
      </c>
      <c r="H7" s="10" t="s">
        <v>44</v>
      </c>
      <c r="I7" s="10"/>
      <c r="J7" s="10"/>
      <c r="K7" s="10"/>
      <c r="L7" s="12">
        <f>计价规则!$B$2+计价规则!$B$3*MAX(0,IF(H7="",0,LEN(H7)-LEN(SUBSTITUTE(H7,"、",""))+1)-(IF(ISNUMBER(SEARCH("WiFi通信模块",H7)),1,0)+IF(ISNUMBER(SEARCH("ESP8266 WiFi模块",H7)),1,0)+IF(ISNUMBER(SEARCH("NRF24L01无线通信模块",H7)),1,0)+IF(ISNUMBER(SEARCH("蓝牙模块",H7)),1,0)+IF(ISNUMBER(SEARCH("语音识别模块",H7)),1,0)+IF(ISNUMBER(SEARCH("语音播报模块",H7)),1,0)+IF(ISNUMBER(SEARCH("RFID模块",H7)),1,0)+IF(ISNUMBER(SEARCH("RFID读卡模块",H7)),1,0)+IF(ISNUMBER(SEARCH("GPS定位模块",H7)),1,0)+IF(ISNUMBER(SEARCH("GSM通信模块",H7)),1,0)+IF(ISNUMBER(SEARCH("摄像头模块",H7)),1,0)+IF(ISNUMBER(SEARCH("人脸识别模块",H7)),1,0)+IF(ISNUMBER(SEARCH("手势识别传感器",H7)),1,0)))</f>
        <v>90</v>
      </c>
      <c r="M7" s="12">
        <f>计价规则!$B$4+计价规则!$B$5*IF(H7="",0,LEN(H7)-LEN(SUBSTITUTE(H7,"、",""))+1)</f>
        <v>90</v>
      </c>
      <c r="N7" s="12"/>
      <c r="O7" s="12">
        <f>计价规则!$B$6</f>
        <v>100</v>
      </c>
      <c r="P7" s="12">
        <f>计价规则!$B$6</f>
        <v>100</v>
      </c>
      <c r="Q7" s="12">
        <f>计价规则!$B$6</f>
        <v>100</v>
      </c>
      <c r="R7" s="12">
        <f>计价规则!$B$7</f>
        <v>400</v>
      </c>
      <c r="S7" s="8" t="s">
        <v>26</v>
      </c>
      <c r="T7" s="13">
        <v>6</v>
      </c>
    </row>
    <row r="8" ht="26" customHeight="1" spans="1:20">
      <c r="A8" s="8">
        <f t="shared" si="0"/>
        <v>7</v>
      </c>
      <c r="B8" s="8" t="s">
        <v>20</v>
      </c>
      <c r="C8" s="9" t="s">
        <v>45</v>
      </c>
      <c r="D8" s="10" t="s">
        <v>46</v>
      </c>
      <c r="E8" s="11" t="s">
        <v>23</v>
      </c>
      <c r="F8" s="11"/>
      <c r="G8" s="10" t="s">
        <v>47</v>
      </c>
      <c r="H8" s="10" t="s">
        <v>48</v>
      </c>
      <c r="I8" s="10"/>
      <c r="J8" s="10"/>
      <c r="K8" s="10"/>
      <c r="L8" s="12">
        <f>计价规则!$B$2+计价规则!$B$3*MAX(0,IF(H8="",0,LEN(H8)-LEN(SUBSTITUTE(H8,"、",""))+1)-(IF(ISNUMBER(SEARCH("WiFi通信模块",H8)),1,0)+IF(ISNUMBER(SEARCH("ESP8266 WiFi模块",H8)),1,0)+IF(ISNUMBER(SEARCH("NRF24L01无线通信模块",H8)),1,0)+IF(ISNUMBER(SEARCH("蓝牙模块",H8)),1,0)+IF(ISNUMBER(SEARCH("语音识别模块",H8)),1,0)+IF(ISNUMBER(SEARCH("语音播报模块",H8)),1,0)+IF(ISNUMBER(SEARCH("RFID模块",H8)),1,0)+IF(ISNUMBER(SEARCH("RFID读卡模块",H8)),1,0)+IF(ISNUMBER(SEARCH("GPS定位模块",H8)),1,0)+IF(ISNUMBER(SEARCH("GSM通信模块",H8)),1,0)+IF(ISNUMBER(SEARCH("摄像头模块",H8)),1,0)+IF(ISNUMBER(SEARCH("人脸识别模块",H8)),1,0)+IF(ISNUMBER(SEARCH("手势识别传感器",H8)),1,0)))</f>
        <v>105</v>
      </c>
      <c r="M8" s="12">
        <f>计价规则!$B$4+计价规则!$B$5*IF(H8="",0,LEN(H8)-LEN(SUBSTITUTE(H8,"、",""))+1)</f>
        <v>110</v>
      </c>
      <c r="N8" s="12"/>
      <c r="O8" s="12">
        <f>计价规则!$B$6</f>
        <v>100</v>
      </c>
      <c r="P8" s="12">
        <f>计价规则!$B$6</f>
        <v>100</v>
      </c>
      <c r="Q8" s="12">
        <f>计价规则!$B$6</f>
        <v>100</v>
      </c>
      <c r="R8" s="12">
        <f>计价规则!$B$7</f>
        <v>400</v>
      </c>
      <c r="S8" s="8" t="s">
        <v>26</v>
      </c>
      <c r="T8" s="13">
        <v>7</v>
      </c>
    </row>
    <row r="9" ht="26" customHeight="1" spans="1:20">
      <c r="A9" s="8">
        <f t="shared" si="0"/>
        <v>8</v>
      </c>
      <c r="B9" s="8" t="s">
        <v>20</v>
      </c>
      <c r="C9" s="9" t="s">
        <v>49</v>
      </c>
      <c r="D9" s="10" t="s">
        <v>50</v>
      </c>
      <c r="E9" s="11" t="s">
        <v>23</v>
      </c>
      <c r="F9" s="11"/>
      <c r="G9" s="10" t="s">
        <v>24</v>
      </c>
      <c r="H9" s="10" t="s">
        <v>51</v>
      </c>
      <c r="I9" s="10"/>
      <c r="J9" s="10"/>
      <c r="K9" s="10"/>
      <c r="L9" s="12">
        <f>计价规则!$B$2+计价规则!$B$3*MAX(0,IF(H9="",0,LEN(H9)-LEN(SUBSTITUTE(H9,"、",""))+1)-(IF(ISNUMBER(SEARCH("WiFi通信模块",H9)),1,0)+IF(ISNUMBER(SEARCH("ESP8266 WiFi模块",H9)),1,0)+IF(ISNUMBER(SEARCH("NRF24L01无线通信模块",H9)),1,0)+IF(ISNUMBER(SEARCH("蓝牙模块",H9)),1,0)+IF(ISNUMBER(SEARCH("语音识别模块",H9)),1,0)+IF(ISNUMBER(SEARCH("语音播报模块",H9)),1,0)+IF(ISNUMBER(SEARCH("RFID模块",H9)),1,0)+IF(ISNUMBER(SEARCH("RFID读卡模块",H9)),1,0)+IF(ISNUMBER(SEARCH("GPS定位模块",H9)),1,0)+IF(ISNUMBER(SEARCH("GSM通信模块",H9)),1,0)+IF(ISNUMBER(SEARCH("摄像头模块",H9)),1,0)+IF(ISNUMBER(SEARCH("人脸识别模块",H9)),1,0)+IF(ISNUMBER(SEARCH("手势识别传感器",H9)),1,0)))</f>
        <v>75</v>
      </c>
      <c r="M9" s="12">
        <f>计价规则!$B$4+计价规则!$B$5*IF(H9="",0,LEN(H9)-LEN(SUBSTITUTE(H9,"、",""))+1)</f>
        <v>70</v>
      </c>
      <c r="N9" s="12"/>
      <c r="O9" s="12">
        <f>计价规则!$B$6</f>
        <v>100</v>
      </c>
      <c r="P9" s="12">
        <f>计价规则!$B$6</f>
        <v>100</v>
      </c>
      <c r="Q9" s="12">
        <f>计价规则!$B$6</f>
        <v>100</v>
      </c>
      <c r="R9" s="12">
        <f>计价规则!$B$7</f>
        <v>400</v>
      </c>
      <c r="S9" s="8" t="s">
        <v>26</v>
      </c>
      <c r="T9" s="13">
        <v>8</v>
      </c>
    </row>
    <row r="10" ht="26" customHeight="1" spans="1:20">
      <c r="A10" s="8">
        <f t="shared" si="0"/>
        <v>9</v>
      </c>
      <c r="B10" s="8" t="s">
        <v>20</v>
      </c>
      <c r="C10" s="9" t="s">
        <v>52</v>
      </c>
      <c r="D10" s="10" t="s">
        <v>53</v>
      </c>
      <c r="E10" s="11" t="s">
        <v>23</v>
      </c>
      <c r="F10" s="11"/>
      <c r="G10" s="10" t="s">
        <v>54</v>
      </c>
      <c r="H10" s="10" t="s">
        <v>55</v>
      </c>
      <c r="I10" s="10"/>
      <c r="J10" s="10"/>
      <c r="K10" s="10"/>
      <c r="L10" s="12">
        <f>计价规则!$B$2+计价规则!$B$3*MAX(0,IF(H10="",0,LEN(H10)-LEN(SUBSTITUTE(H10,"、",""))+1)-(IF(ISNUMBER(SEARCH("WiFi通信模块",H10)),1,0)+IF(ISNUMBER(SEARCH("ESP8266 WiFi模块",H10)),1,0)+IF(ISNUMBER(SEARCH("NRF24L01无线通信模块",H10)),1,0)+IF(ISNUMBER(SEARCH("蓝牙模块",H10)),1,0)+IF(ISNUMBER(SEARCH("语音识别模块",H10)),1,0)+IF(ISNUMBER(SEARCH("语音播报模块",H10)),1,0)+IF(ISNUMBER(SEARCH("RFID模块",H10)),1,0)+IF(ISNUMBER(SEARCH("RFID读卡模块",H10)),1,0)+IF(ISNUMBER(SEARCH("GPS定位模块",H10)),1,0)+IF(ISNUMBER(SEARCH("GSM通信模块",H10)),1,0)+IF(ISNUMBER(SEARCH("摄像头模块",H10)),1,0)+IF(ISNUMBER(SEARCH("人脸识别模块",H10)),1,0)+IF(ISNUMBER(SEARCH("手势识别传感器",H10)),1,0)))</f>
        <v>90</v>
      </c>
      <c r="M10" s="12">
        <f>计价规则!$B$4+计价规则!$B$5*IF(H10="",0,LEN(H10)-LEN(SUBSTITUTE(H10,"、",""))+1)</f>
        <v>90</v>
      </c>
      <c r="N10" s="12"/>
      <c r="O10" s="12">
        <f>计价规则!$B$6</f>
        <v>100</v>
      </c>
      <c r="P10" s="12">
        <f>计价规则!$B$6</f>
        <v>100</v>
      </c>
      <c r="Q10" s="12">
        <f>计价规则!$B$6</f>
        <v>100</v>
      </c>
      <c r="R10" s="12">
        <f>计价规则!$B$7</f>
        <v>400</v>
      </c>
      <c r="S10" s="8" t="s">
        <v>26</v>
      </c>
      <c r="T10" s="13">
        <v>9</v>
      </c>
    </row>
    <row r="11" ht="26" customHeight="1" spans="1:20">
      <c r="A11" s="8">
        <f t="shared" si="0"/>
        <v>10</v>
      </c>
      <c r="B11" s="8" t="s">
        <v>20</v>
      </c>
      <c r="C11" s="9" t="s">
        <v>56</v>
      </c>
      <c r="D11" s="10" t="s">
        <v>57</v>
      </c>
      <c r="E11" s="11" t="s">
        <v>23</v>
      </c>
      <c r="F11" s="11"/>
      <c r="G11" s="10" t="s">
        <v>58</v>
      </c>
      <c r="H11" s="10" t="s">
        <v>59</v>
      </c>
      <c r="I11" s="10"/>
      <c r="J11" s="10"/>
      <c r="K11" s="10"/>
      <c r="L11" s="12">
        <f>计价规则!$B$2+计价规则!$B$3*MAX(0,IF(H11="",0,LEN(H11)-LEN(SUBSTITUTE(H11,"、",""))+1)-(IF(ISNUMBER(SEARCH("WiFi通信模块",H11)),1,0)+IF(ISNUMBER(SEARCH("ESP8266 WiFi模块",H11)),1,0)+IF(ISNUMBER(SEARCH("NRF24L01无线通信模块",H11)),1,0)+IF(ISNUMBER(SEARCH("蓝牙模块",H11)),1,0)+IF(ISNUMBER(SEARCH("语音识别模块",H11)),1,0)+IF(ISNUMBER(SEARCH("语音播报模块",H11)),1,0)+IF(ISNUMBER(SEARCH("RFID模块",H11)),1,0)+IF(ISNUMBER(SEARCH("RFID读卡模块",H11)),1,0)+IF(ISNUMBER(SEARCH("GPS定位模块",H11)),1,0)+IF(ISNUMBER(SEARCH("GSM通信模块",H11)),1,0)+IF(ISNUMBER(SEARCH("摄像头模块",H11)),1,0)+IF(ISNUMBER(SEARCH("人脸识别模块",H11)),1,0)+IF(ISNUMBER(SEARCH("手势识别传感器",H11)),1,0)))</f>
        <v>105</v>
      </c>
      <c r="M11" s="12">
        <f>计价规则!$B$4+计价规则!$B$5*IF(H11="",0,LEN(H11)-LEN(SUBSTITUTE(H11,"、",""))+1)</f>
        <v>110</v>
      </c>
      <c r="N11" s="12"/>
      <c r="O11" s="12">
        <f>计价规则!$B$6</f>
        <v>100</v>
      </c>
      <c r="P11" s="12">
        <f>计价规则!$B$6</f>
        <v>100</v>
      </c>
      <c r="Q11" s="12">
        <f>计价规则!$B$6</f>
        <v>100</v>
      </c>
      <c r="R11" s="12">
        <f>计价规则!$B$7</f>
        <v>400</v>
      </c>
      <c r="S11" s="8" t="s">
        <v>26</v>
      </c>
      <c r="T11" s="13">
        <v>10</v>
      </c>
    </row>
    <row r="12" ht="26" customHeight="1" spans="1:20">
      <c r="A12" s="8">
        <f t="shared" si="0"/>
        <v>11</v>
      </c>
      <c r="B12" s="8" t="s">
        <v>20</v>
      </c>
      <c r="C12" s="9" t="s">
        <v>60</v>
      </c>
      <c r="D12" s="10" t="s">
        <v>61</v>
      </c>
      <c r="E12" s="11" t="s">
        <v>23</v>
      </c>
      <c r="F12" s="11"/>
      <c r="G12" s="10" t="s">
        <v>62</v>
      </c>
      <c r="H12" s="10" t="s">
        <v>63</v>
      </c>
      <c r="I12" s="10"/>
      <c r="J12" s="10"/>
      <c r="K12" s="10"/>
      <c r="L12" s="12">
        <f>计价规则!$B$2+计价规则!$B$3*MAX(0,IF(H12="",0,LEN(H12)-LEN(SUBSTITUTE(H12,"、",""))+1)-(IF(ISNUMBER(SEARCH("WiFi通信模块",H12)),1,0)+IF(ISNUMBER(SEARCH("ESP8266 WiFi模块",H12)),1,0)+IF(ISNUMBER(SEARCH("NRF24L01无线通信模块",H12)),1,0)+IF(ISNUMBER(SEARCH("蓝牙模块",H12)),1,0)+IF(ISNUMBER(SEARCH("语音识别模块",H12)),1,0)+IF(ISNUMBER(SEARCH("语音播报模块",H12)),1,0)+IF(ISNUMBER(SEARCH("RFID模块",H12)),1,0)+IF(ISNUMBER(SEARCH("RFID读卡模块",H12)),1,0)+IF(ISNUMBER(SEARCH("GPS定位模块",H12)),1,0)+IF(ISNUMBER(SEARCH("GSM通信模块",H12)),1,0)+IF(ISNUMBER(SEARCH("摄像头模块",H12)),1,0)+IF(ISNUMBER(SEARCH("人脸识别模块",H12)),1,0)+IF(ISNUMBER(SEARCH("手势识别传感器",H12)),1,0)))</f>
        <v>105</v>
      </c>
      <c r="M12" s="12">
        <f>计价规则!$B$4+计价规则!$B$5*IF(H12="",0,LEN(H12)-LEN(SUBSTITUTE(H12,"、",""))+1)</f>
        <v>110</v>
      </c>
      <c r="N12" s="12"/>
      <c r="O12" s="12">
        <f>计价规则!$B$6</f>
        <v>100</v>
      </c>
      <c r="P12" s="12">
        <f>计价规则!$B$6</f>
        <v>100</v>
      </c>
      <c r="Q12" s="12">
        <f>计价规则!$B$6</f>
        <v>100</v>
      </c>
      <c r="R12" s="12">
        <f>计价规则!$B$7</f>
        <v>400</v>
      </c>
      <c r="S12" s="8" t="s">
        <v>26</v>
      </c>
      <c r="T12" s="13">
        <v>11</v>
      </c>
    </row>
    <row r="13" ht="26" customHeight="1" spans="1:20">
      <c r="A13" s="8">
        <f t="shared" si="0"/>
        <v>12</v>
      </c>
      <c r="B13" s="8" t="s">
        <v>20</v>
      </c>
      <c r="C13" s="9" t="s">
        <v>64</v>
      </c>
      <c r="D13" s="10" t="s">
        <v>65</v>
      </c>
      <c r="E13" s="11" t="s">
        <v>23</v>
      </c>
      <c r="F13" s="11"/>
      <c r="G13" s="10" t="s">
        <v>54</v>
      </c>
      <c r="H13" s="10" t="s">
        <v>66</v>
      </c>
      <c r="I13" s="10"/>
      <c r="J13" s="10"/>
      <c r="K13" s="10"/>
      <c r="L13" s="12">
        <f>计价规则!$B$2+计价规则!$B$3*MAX(0,IF(H13="",0,LEN(H13)-LEN(SUBSTITUTE(H13,"、",""))+1)-(IF(ISNUMBER(SEARCH("WiFi通信模块",H13)),1,0)+IF(ISNUMBER(SEARCH("ESP8266 WiFi模块",H13)),1,0)+IF(ISNUMBER(SEARCH("NRF24L01无线通信模块",H13)),1,0)+IF(ISNUMBER(SEARCH("蓝牙模块",H13)),1,0)+IF(ISNUMBER(SEARCH("语音识别模块",H13)),1,0)+IF(ISNUMBER(SEARCH("语音播报模块",H13)),1,0)+IF(ISNUMBER(SEARCH("RFID模块",H13)),1,0)+IF(ISNUMBER(SEARCH("RFID读卡模块",H13)),1,0)+IF(ISNUMBER(SEARCH("GPS定位模块",H13)),1,0)+IF(ISNUMBER(SEARCH("GSM通信模块",H13)),1,0)+IF(ISNUMBER(SEARCH("摄像头模块",H13)),1,0)+IF(ISNUMBER(SEARCH("人脸识别模块",H13)),1,0)+IF(ISNUMBER(SEARCH("手势识别传感器",H13)),1,0)))</f>
        <v>90</v>
      </c>
      <c r="M13" s="12">
        <f>计价规则!$B$4+计价规则!$B$5*IF(H13="",0,LEN(H13)-LEN(SUBSTITUTE(H13,"、",""))+1)</f>
        <v>90</v>
      </c>
      <c r="N13" s="12"/>
      <c r="O13" s="12">
        <f>计价规则!$B$6</f>
        <v>100</v>
      </c>
      <c r="P13" s="12">
        <f>计价规则!$B$6</f>
        <v>100</v>
      </c>
      <c r="Q13" s="12">
        <f>计价规则!$B$6</f>
        <v>100</v>
      </c>
      <c r="R13" s="12">
        <f>计价规则!$B$7</f>
        <v>400</v>
      </c>
      <c r="S13" s="8" t="s">
        <v>26</v>
      </c>
      <c r="T13" s="13">
        <v>12</v>
      </c>
    </row>
    <row r="14" ht="26" customHeight="1" spans="1:20">
      <c r="A14" s="8">
        <f t="shared" si="0"/>
        <v>13</v>
      </c>
      <c r="B14" s="8" t="s">
        <v>20</v>
      </c>
      <c r="C14" s="9" t="s">
        <v>67</v>
      </c>
      <c r="D14" s="10" t="s">
        <v>68</v>
      </c>
      <c r="E14" s="11" t="s">
        <v>23</v>
      </c>
      <c r="F14" s="11"/>
      <c r="G14" s="10" t="s">
        <v>69</v>
      </c>
      <c r="H14" s="10" t="s">
        <v>70</v>
      </c>
      <c r="I14" s="10"/>
      <c r="J14" s="10"/>
      <c r="K14" s="10"/>
      <c r="L14" s="12">
        <f>计价规则!$B$2+计价规则!$B$3*MAX(0,IF(H14="",0,LEN(H14)-LEN(SUBSTITUTE(H14,"、",""))+1)-(IF(ISNUMBER(SEARCH("WiFi通信模块",H14)),1,0)+IF(ISNUMBER(SEARCH("ESP8266 WiFi模块",H14)),1,0)+IF(ISNUMBER(SEARCH("NRF24L01无线通信模块",H14)),1,0)+IF(ISNUMBER(SEARCH("蓝牙模块",H14)),1,0)+IF(ISNUMBER(SEARCH("语音识别模块",H14)),1,0)+IF(ISNUMBER(SEARCH("语音播报模块",H14)),1,0)+IF(ISNUMBER(SEARCH("RFID模块",H14)),1,0)+IF(ISNUMBER(SEARCH("RFID读卡模块",H14)),1,0)+IF(ISNUMBER(SEARCH("GPS定位模块",H14)),1,0)+IF(ISNUMBER(SEARCH("GSM通信模块",H14)),1,0)+IF(ISNUMBER(SEARCH("摄像头模块",H14)),1,0)+IF(ISNUMBER(SEARCH("人脸识别模块",H14)),1,0)+IF(ISNUMBER(SEARCH("手势识别传感器",H14)),1,0)))</f>
        <v>105</v>
      </c>
      <c r="M14" s="12">
        <f>计价规则!$B$4+计价规则!$B$5*IF(H14="",0,LEN(H14)-LEN(SUBSTITUTE(H14,"、",""))+1)</f>
        <v>110</v>
      </c>
      <c r="N14" s="12"/>
      <c r="O14" s="12">
        <f>计价规则!$B$6</f>
        <v>100</v>
      </c>
      <c r="P14" s="12">
        <f>计价规则!$B$6</f>
        <v>100</v>
      </c>
      <c r="Q14" s="12">
        <f>计价规则!$B$6</f>
        <v>100</v>
      </c>
      <c r="R14" s="12">
        <f>计价规则!$B$7</f>
        <v>400</v>
      </c>
      <c r="S14" s="8" t="s">
        <v>26</v>
      </c>
      <c r="T14" s="13">
        <v>13</v>
      </c>
    </row>
    <row r="15" ht="26" customHeight="1" spans="1:20">
      <c r="A15" s="8">
        <f t="shared" si="0"/>
        <v>14</v>
      </c>
      <c r="B15" s="8" t="s">
        <v>20</v>
      </c>
      <c r="C15" s="9" t="s">
        <v>71</v>
      </c>
      <c r="D15" s="10" t="s">
        <v>72</v>
      </c>
      <c r="E15" s="11" t="s">
        <v>23</v>
      </c>
      <c r="F15" s="11"/>
      <c r="G15" s="10" t="s">
        <v>73</v>
      </c>
      <c r="H15" s="10" t="s">
        <v>74</v>
      </c>
      <c r="I15" s="10"/>
      <c r="J15" s="10"/>
      <c r="K15" s="10"/>
      <c r="L15" s="12">
        <f>计价规则!$B$2+计价规则!$B$3*MAX(0,IF(H15="",0,LEN(H15)-LEN(SUBSTITUTE(H15,"、",""))+1)-(IF(ISNUMBER(SEARCH("WiFi通信模块",H15)),1,0)+IF(ISNUMBER(SEARCH("ESP8266 WiFi模块",H15)),1,0)+IF(ISNUMBER(SEARCH("NRF24L01无线通信模块",H15)),1,0)+IF(ISNUMBER(SEARCH("蓝牙模块",H15)),1,0)+IF(ISNUMBER(SEARCH("语音识别模块",H15)),1,0)+IF(ISNUMBER(SEARCH("语音播报模块",H15)),1,0)+IF(ISNUMBER(SEARCH("RFID模块",H15)),1,0)+IF(ISNUMBER(SEARCH("RFID读卡模块",H15)),1,0)+IF(ISNUMBER(SEARCH("GPS定位模块",H15)),1,0)+IF(ISNUMBER(SEARCH("GSM通信模块",H15)),1,0)+IF(ISNUMBER(SEARCH("摄像头模块",H15)),1,0)+IF(ISNUMBER(SEARCH("人脸识别模块",H15)),1,0)+IF(ISNUMBER(SEARCH("手势识别传感器",H15)),1,0)))</f>
        <v>75</v>
      </c>
      <c r="M15" s="12">
        <f>计价规则!$B$4+计价规则!$B$5*IF(H15="",0,LEN(H15)-LEN(SUBSTITUTE(H15,"、",""))+1)</f>
        <v>70</v>
      </c>
      <c r="N15" s="12"/>
      <c r="O15" s="12">
        <f>计价规则!$B$6</f>
        <v>100</v>
      </c>
      <c r="P15" s="12">
        <f>计价规则!$B$6</f>
        <v>100</v>
      </c>
      <c r="Q15" s="12">
        <f>计价规则!$B$6</f>
        <v>100</v>
      </c>
      <c r="R15" s="12">
        <f>计价规则!$B$7</f>
        <v>400</v>
      </c>
      <c r="S15" s="8" t="s">
        <v>26</v>
      </c>
      <c r="T15" s="13">
        <v>14</v>
      </c>
    </row>
    <row r="16" ht="26" customHeight="1" spans="1:20">
      <c r="A16" s="8">
        <f t="shared" si="0"/>
        <v>15</v>
      </c>
      <c r="B16" s="8" t="s">
        <v>75</v>
      </c>
      <c r="C16" s="9" t="s">
        <v>76</v>
      </c>
      <c r="D16" s="10" t="s">
        <v>77</v>
      </c>
      <c r="E16" s="11" t="s">
        <v>23</v>
      </c>
      <c r="F16" s="11"/>
      <c r="G16" s="10" t="s">
        <v>24</v>
      </c>
      <c r="H16" s="10" t="s">
        <v>78</v>
      </c>
      <c r="I16" s="10"/>
      <c r="J16" s="10"/>
      <c r="K16" s="10"/>
      <c r="L16" s="12">
        <f>计价规则!$B$2+计价规则!$B$3*MAX(0,IF(H16="",0,LEN(H16)-LEN(SUBSTITUTE(H16,"、",""))+1)-(IF(ISNUMBER(SEARCH("WiFi通信模块",H16)),1,0)+IF(ISNUMBER(SEARCH("ESP8266 WiFi模块",H16)),1,0)+IF(ISNUMBER(SEARCH("NRF24L01无线通信模块",H16)),1,0)+IF(ISNUMBER(SEARCH("蓝牙模块",H16)),1,0)+IF(ISNUMBER(SEARCH("语音识别模块",H16)),1,0)+IF(ISNUMBER(SEARCH("语音播报模块",H16)),1,0)+IF(ISNUMBER(SEARCH("RFID模块",H16)),1,0)+IF(ISNUMBER(SEARCH("RFID读卡模块",H16)),1,0)+IF(ISNUMBER(SEARCH("GPS定位模块",H16)),1,0)+IF(ISNUMBER(SEARCH("GSM通信模块",H16)),1,0)+IF(ISNUMBER(SEARCH("摄像头模块",H16)),1,0)+IF(ISNUMBER(SEARCH("人脸识别模块",H16)),1,0)+IF(ISNUMBER(SEARCH("手势识别传感器",H16)),1,0)))</f>
        <v>105</v>
      </c>
      <c r="M16" s="12">
        <f>计价规则!$B$4+计价规则!$B$5*IF(H16="",0,LEN(H16)-LEN(SUBSTITUTE(H16,"、",""))+1)</f>
        <v>110</v>
      </c>
      <c r="N16" s="12"/>
      <c r="O16" s="12">
        <f>计价规则!$B$6</f>
        <v>100</v>
      </c>
      <c r="P16" s="12">
        <f>计价规则!$B$6</f>
        <v>100</v>
      </c>
      <c r="Q16" s="12">
        <f>计价规则!$B$6</f>
        <v>100</v>
      </c>
      <c r="R16" s="12">
        <f>计价规则!$B$7</f>
        <v>400</v>
      </c>
      <c r="S16" s="8" t="s">
        <v>26</v>
      </c>
      <c r="T16" s="13">
        <v>15</v>
      </c>
    </row>
    <row r="17" ht="26" customHeight="1" spans="1:20">
      <c r="A17" s="8">
        <f t="shared" si="0"/>
        <v>16</v>
      </c>
      <c r="B17" s="8" t="s">
        <v>75</v>
      </c>
      <c r="C17" s="9" t="s">
        <v>79</v>
      </c>
      <c r="D17" s="10" t="s">
        <v>80</v>
      </c>
      <c r="E17" s="11" t="s">
        <v>23</v>
      </c>
      <c r="F17" s="11"/>
      <c r="G17" s="10" t="s">
        <v>81</v>
      </c>
      <c r="H17" s="10" t="s">
        <v>82</v>
      </c>
      <c r="I17" s="10"/>
      <c r="J17" s="10"/>
      <c r="K17" s="10"/>
      <c r="L17" s="12">
        <f>计价规则!$B$2+计价规则!$B$3*MAX(0,IF(H17="",0,LEN(H17)-LEN(SUBSTITUTE(H17,"、",""))+1)-(IF(ISNUMBER(SEARCH("WiFi通信模块",H17)),1,0)+IF(ISNUMBER(SEARCH("ESP8266 WiFi模块",H17)),1,0)+IF(ISNUMBER(SEARCH("NRF24L01无线通信模块",H17)),1,0)+IF(ISNUMBER(SEARCH("蓝牙模块",H17)),1,0)+IF(ISNUMBER(SEARCH("语音识别模块",H17)),1,0)+IF(ISNUMBER(SEARCH("语音播报模块",H17)),1,0)+IF(ISNUMBER(SEARCH("RFID模块",H17)),1,0)+IF(ISNUMBER(SEARCH("RFID读卡模块",H17)),1,0)+IF(ISNUMBER(SEARCH("GPS定位模块",H17)),1,0)+IF(ISNUMBER(SEARCH("GSM通信模块",H17)),1,0)+IF(ISNUMBER(SEARCH("摄像头模块",H17)),1,0)+IF(ISNUMBER(SEARCH("人脸识别模块",H17)),1,0)+IF(ISNUMBER(SEARCH("手势识别传感器",H17)),1,0)))</f>
        <v>90</v>
      </c>
      <c r="M17" s="12">
        <f>计价规则!$B$4+计价规则!$B$5*IF(H17="",0,LEN(H17)-LEN(SUBSTITUTE(H17,"、",""))+1)</f>
        <v>90</v>
      </c>
      <c r="N17" s="12"/>
      <c r="O17" s="12">
        <f>计价规则!$B$6</f>
        <v>100</v>
      </c>
      <c r="P17" s="12">
        <f>计价规则!$B$6</f>
        <v>100</v>
      </c>
      <c r="Q17" s="12">
        <f>计价规则!$B$6</f>
        <v>100</v>
      </c>
      <c r="R17" s="12">
        <f>计价规则!$B$7</f>
        <v>400</v>
      </c>
      <c r="S17" s="8" t="s">
        <v>26</v>
      </c>
      <c r="T17" s="13">
        <v>16</v>
      </c>
    </row>
    <row r="18" ht="26" customHeight="1" spans="1:20">
      <c r="A18" s="8">
        <f t="shared" si="0"/>
        <v>17</v>
      </c>
      <c r="B18" s="8" t="s">
        <v>75</v>
      </c>
      <c r="C18" s="9" t="s">
        <v>83</v>
      </c>
      <c r="D18" s="10" t="s">
        <v>84</v>
      </c>
      <c r="E18" s="11" t="s">
        <v>23</v>
      </c>
      <c r="F18" s="11"/>
      <c r="G18" s="10" t="s">
        <v>85</v>
      </c>
      <c r="H18" s="10" t="s">
        <v>86</v>
      </c>
      <c r="I18" s="10"/>
      <c r="J18" s="10"/>
      <c r="K18" s="10"/>
      <c r="L18" s="12">
        <f>计价规则!$B$2+计价规则!$B$3*MAX(0,IF(H18="",0,LEN(H18)-LEN(SUBSTITUTE(H18,"、",""))+1)-(IF(ISNUMBER(SEARCH("WiFi通信模块",H18)),1,0)+IF(ISNUMBER(SEARCH("ESP8266 WiFi模块",H18)),1,0)+IF(ISNUMBER(SEARCH("NRF24L01无线通信模块",H18)),1,0)+IF(ISNUMBER(SEARCH("蓝牙模块",H18)),1,0)+IF(ISNUMBER(SEARCH("语音识别模块",H18)),1,0)+IF(ISNUMBER(SEARCH("语音播报模块",H18)),1,0)+IF(ISNUMBER(SEARCH("RFID模块",H18)),1,0)+IF(ISNUMBER(SEARCH("RFID读卡模块",H18)),1,0)+IF(ISNUMBER(SEARCH("GPS定位模块",H18)),1,0)+IF(ISNUMBER(SEARCH("GSM通信模块",H18)),1,0)+IF(ISNUMBER(SEARCH("摄像头模块",H18)),1,0)+IF(ISNUMBER(SEARCH("人脸识别模块",H18)),1,0)+IF(ISNUMBER(SEARCH("手势识别传感器",H18)),1,0)))</f>
        <v>105</v>
      </c>
      <c r="M18" s="12">
        <f>计价规则!$B$4+计价规则!$B$5*IF(H18="",0,LEN(H18)-LEN(SUBSTITUTE(H18,"、",""))+1)</f>
        <v>110</v>
      </c>
      <c r="N18" s="12"/>
      <c r="O18" s="12">
        <f>计价规则!$B$6</f>
        <v>100</v>
      </c>
      <c r="P18" s="12">
        <f>计价规则!$B$6</f>
        <v>100</v>
      </c>
      <c r="Q18" s="12">
        <f>计价规则!$B$6</f>
        <v>100</v>
      </c>
      <c r="R18" s="12">
        <f>计价规则!$B$7</f>
        <v>400</v>
      </c>
      <c r="S18" s="8" t="s">
        <v>26</v>
      </c>
      <c r="T18" s="13">
        <v>17</v>
      </c>
    </row>
    <row r="19" ht="26" customHeight="1" spans="1:20">
      <c r="A19" s="8">
        <f t="shared" si="0"/>
        <v>18</v>
      </c>
      <c r="B19" s="8" t="s">
        <v>75</v>
      </c>
      <c r="C19" s="9" t="s">
        <v>87</v>
      </c>
      <c r="D19" s="10" t="s">
        <v>88</v>
      </c>
      <c r="E19" s="11" t="s">
        <v>23</v>
      </c>
      <c r="F19" s="11"/>
      <c r="G19" s="10" t="s">
        <v>24</v>
      </c>
      <c r="H19" s="10" t="s">
        <v>78</v>
      </c>
      <c r="I19" s="10"/>
      <c r="J19" s="10"/>
      <c r="K19" s="10"/>
      <c r="L19" s="12">
        <f>计价规则!$B$2+计价规则!$B$3*MAX(0,IF(H19="",0,LEN(H19)-LEN(SUBSTITUTE(H19,"、",""))+1)-(IF(ISNUMBER(SEARCH("WiFi通信模块",H19)),1,0)+IF(ISNUMBER(SEARCH("ESP8266 WiFi模块",H19)),1,0)+IF(ISNUMBER(SEARCH("NRF24L01无线通信模块",H19)),1,0)+IF(ISNUMBER(SEARCH("蓝牙模块",H19)),1,0)+IF(ISNUMBER(SEARCH("语音识别模块",H19)),1,0)+IF(ISNUMBER(SEARCH("语音播报模块",H19)),1,0)+IF(ISNUMBER(SEARCH("RFID模块",H19)),1,0)+IF(ISNUMBER(SEARCH("RFID读卡模块",H19)),1,0)+IF(ISNUMBER(SEARCH("GPS定位模块",H19)),1,0)+IF(ISNUMBER(SEARCH("GSM通信模块",H19)),1,0)+IF(ISNUMBER(SEARCH("摄像头模块",H19)),1,0)+IF(ISNUMBER(SEARCH("人脸识别模块",H19)),1,0)+IF(ISNUMBER(SEARCH("手势识别传感器",H19)),1,0)))</f>
        <v>105</v>
      </c>
      <c r="M19" s="12">
        <f>计价规则!$B$4+计价规则!$B$5*IF(H19="",0,LEN(H19)-LEN(SUBSTITUTE(H19,"、",""))+1)</f>
        <v>110</v>
      </c>
      <c r="N19" s="12"/>
      <c r="O19" s="12">
        <f>计价规则!$B$6</f>
        <v>100</v>
      </c>
      <c r="P19" s="12">
        <f>计价规则!$B$6</f>
        <v>100</v>
      </c>
      <c r="Q19" s="12">
        <f>计价规则!$B$6</f>
        <v>100</v>
      </c>
      <c r="R19" s="12">
        <f>计价规则!$B$7</f>
        <v>400</v>
      </c>
      <c r="S19" s="8" t="s">
        <v>26</v>
      </c>
      <c r="T19" s="13">
        <v>18</v>
      </c>
    </row>
    <row r="20" ht="26" customHeight="1" spans="1:20">
      <c r="A20" s="8">
        <f t="shared" si="0"/>
        <v>19</v>
      </c>
      <c r="B20" s="8" t="s">
        <v>75</v>
      </c>
      <c r="C20" s="9" t="s">
        <v>89</v>
      </c>
      <c r="D20" s="10" t="s">
        <v>90</v>
      </c>
      <c r="E20" s="11" t="s">
        <v>23</v>
      </c>
      <c r="F20" s="11"/>
      <c r="G20" s="10" t="s">
        <v>24</v>
      </c>
      <c r="H20" s="10" t="s">
        <v>91</v>
      </c>
      <c r="I20" s="10"/>
      <c r="J20" s="10"/>
      <c r="K20" s="10"/>
      <c r="L20" s="12">
        <f>计价规则!$B$2+计价规则!$B$3*MAX(0,IF(H20="",0,LEN(H20)-LEN(SUBSTITUTE(H20,"、",""))+1)-(IF(ISNUMBER(SEARCH("WiFi通信模块",H20)),1,0)+IF(ISNUMBER(SEARCH("ESP8266 WiFi模块",H20)),1,0)+IF(ISNUMBER(SEARCH("NRF24L01无线通信模块",H20)),1,0)+IF(ISNUMBER(SEARCH("蓝牙模块",H20)),1,0)+IF(ISNUMBER(SEARCH("语音识别模块",H20)),1,0)+IF(ISNUMBER(SEARCH("语音播报模块",H20)),1,0)+IF(ISNUMBER(SEARCH("RFID模块",H20)),1,0)+IF(ISNUMBER(SEARCH("RFID读卡模块",H20)),1,0)+IF(ISNUMBER(SEARCH("GPS定位模块",H20)),1,0)+IF(ISNUMBER(SEARCH("GSM通信模块",H20)),1,0)+IF(ISNUMBER(SEARCH("摄像头模块",H20)),1,0)+IF(ISNUMBER(SEARCH("人脸识别模块",H20)),1,0)+IF(ISNUMBER(SEARCH("手势识别传感器",H20)),1,0)))</f>
        <v>90</v>
      </c>
      <c r="M20" s="12">
        <f>计价规则!$B$4+计价规则!$B$5*IF(H20="",0,LEN(H20)-LEN(SUBSTITUTE(H20,"、",""))+1)</f>
        <v>90</v>
      </c>
      <c r="N20" s="12"/>
      <c r="O20" s="12">
        <f>计价规则!$B$6</f>
        <v>100</v>
      </c>
      <c r="P20" s="12">
        <f>计价规则!$B$6</f>
        <v>100</v>
      </c>
      <c r="Q20" s="12">
        <f>计价规则!$B$6</f>
        <v>100</v>
      </c>
      <c r="R20" s="12">
        <f>计价规则!$B$7</f>
        <v>400</v>
      </c>
      <c r="S20" s="8" t="s">
        <v>26</v>
      </c>
      <c r="T20" s="13">
        <v>19</v>
      </c>
    </row>
    <row r="21" ht="26" customHeight="1" spans="1:20">
      <c r="A21" s="8">
        <f t="shared" si="0"/>
        <v>20</v>
      </c>
      <c r="B21" s="8" t="s">
        <v>75</v>
      </c>
      <c r="C21" s="9" t="s">
        <v>92</v>
      </c>
      <c r="D21" s="10" t="s">
        <v>93</v>
      </c>
      <c r="E21" s="11" t="s">
        <v>23</v>
      </c>
      <c r="F21" s="11"/>
      <c r="G21" s="10" t="s">
        <v>24</v>
      </c>
      <c r="H21" s="10" t="s">
        <v>94</v>
      </c>
      <c r="I21" s="10"/>
      <c r="J21" s="10"/>
      <c r="K21" s="10"/>
      <c r="L21" s="12">
        <f>计价规则!$B$2+计价规则!$B$3*MAX(0,IF(H21="",0,LEN(H21)-LEN(SUBSTITUTE(H21,"、",""))+1)-(IF(ISNUMBER(SEARCH("WiFi通信模块",H21)),1,0)+IF(ISNUMBER(SEARCH("ESP8266 WiFi模块",H21)),1,0)+IF(ISNUMBER(SEARCH("NRF24L01无线通信模块",H21)),1,0)+IF(ISNUMBER(SEARCH("蓝牙模块",H21)),1,0)+IF(ISNUMBER(SEARCH("语音识别模块",H21)),1,0)+IF(ISNUMBER(SEARCH("语音播报模块",H21)),1,0)+IF(ISNUMBER(SEARCH("RFID模块",H21)),1,0)+IF(ISNUMBER(SEARCH("RFID读卡模块",H21)),1,0)+IF(ISNUMBER(SEARCH("GPS定位模块",H21)),1,0)+IF(ISNUMBER(SEARCH("GSM通信模块",H21)),1,0)+IF(ISNUMBER(SEARCH("摄像头模块",H21)),1,0)+IF(ISNUMBER(SEARCH("人脸识别模块",H21)),1,0)+IF(ISNUMBER(SEARCH("手势识别传感器",H21)),1,0)))</f>
        <v>105</v>
      </c>
      <c r="M21" s="12">
        <f>计价规则!$B$4+计价规则!$B$5*IF(H21="",0,LEN(H21)-LEN(SUBSTITUTE(H21,"、",""))+1)</f>
        <v>110</v>
      </c>
      <c r="N21" s="12"/>
      <c r="O21" s="12">
        <f>计价规则!$B$6</f>
        <v>100</v>
      </c>
      <c r="P21" s="12">
        <f>计价规则!$B$6</f>
        <v>100</v>
      </c>
      <c r="Q21" s="12">
        <f>计价规则!$B$6</f>
        <v>100</v>
      </c>
      <c r="R21" s="12">
        <f>计价规则!$B$7</f>
        <v>400</v>
      </c>
      <c r="S21" s="8" t="s">
        <v>26</v>
      </c>
      <c r="T21" s="13">
        <v>20</v>
      </c>
    </row>
    <row r="22" ht="26" customHeight="1" spans="1:20">
      <c r="A22" s="8">
        <f t="shared" si="0"/>
        <v>21</v>
      </c>
      <c r="B22" s="8" t="s">
        <v>75</v>
      </c>
      <c r="C22" s="9" t="s">
        <v>95</v>
      </c>
      <c r="D22" s="10" t="s">
        <v>96</v>
      </c>
      <c r="E22" s="11" t="s">
        <v>23</v>
      </c>
      <c r="F22" s="11"/>
      <c r="G22" s="10" t="s">
        <v>62</v>
      </c>
      <c r="H22" s="10" t="s">
        <v>97</v>
      </c>
      <c r="I22" s="10"/>
      <c r="J22" s="10"/>
      <c r="K22" s="10"/>
      <c r="L22" s="12">
        <f>计价规则!$B$2+计价规则!$B$3*MAX(0,IF(H22="",0,LEN(H22)-LEN(SUBSTITUTE(H22,"、",""))+1)-(IF(ISNUMBER(SEARCH("WiFi通信模块",H22)),1,0)+IF(ISNUMBER(SEARCH("ESP8266 WiFi模块",H22)),1,0)+IF(ISNUMBER(SEARCH("NRF24L01无线通信模块",H22)),1,0)+IF(ISNUMBER(SEARCH("蓝牙模块",H22)),1,0)+IF(ISNUMBER(SEARCH("语音识别模块",H22)),1,0)+IF(ISNUMBER(SEARCH("语音播报模块",H22)),1,0)+IF(ISNUMBER(SEARCH("RFID模块",H22)),1,0)+IF(ISNUMBER(SEARCH("RFID读卡模块",H22)),1,0)+IF(ISNUMBER(SEARCH("GPS定位模块",H22)),1,0)+IF(ISNUMBER(SEARCH("GSM通信模块",H22)),1,0)+IF(ISNUMBER(SEARCH("摄像头模块",H22)),1,0)+IF(ISNUMBER(SEARCH("人脸识别模块",H22)),1,0)+IF(ISNUMBER(SEARCH("手势识别传感器",H22)),1,0)))</f>
        <v>105</v>
      </c>
      <c r="M22" s="12">
        <f>计价规则!$B$4+计价规则!$B$5*IF(H22="",0,LEN(H22)-LEN(SUBSTITUTE(H22,"、",""))+1)</f>
        <v>110</v>
      </c>
      <c r="N22" s="12"/>
      <c r="O22" s="12">
        <f>计价规则!$B$6</f>
        <v>100</v>
      </c>
      <c r="P22" s="12">
        <f>计价规则!$B$6</f>
        <v>100</v>
      </c>
      <c r="Q22" s="12">
        <f>计价规则!$B$6</f>
        <v>100</v>
      </c>
      <c r="R22" s="12">
        <f>计价规则!$B$7</f>
        <v>400</v>
      </c>
      <c r="S22" s="8" t="s">
        <v>26</v>
      </c>
      <c r="T22" s="13">
        <v>21</v>
      </c>
    </row>
    <row r="23" ht="26" customHeight="1" spans="1:20">
      <c r="A23" s="8">
        <f t="shared" si="0"/>
        <v>22</v>
      </c>
      <c r="B23" s="8" t="s">
        <v>75</v>
      </c>
      <c r="C23" s="9" t="s">
        <v>98</v>
      </c>
      <c r="D23" s="10" t="s">
        <v>99</v>
      </c>
      <c r="E23" s="11" t="s">
        <v>23</v>
      </c>
      <c r="F23" s="11"/>
      <c r="G23" s="10" t="s">
        <v>24</v>
      </c>
      <c r="H23" s="10" t="s">
        <v>100</v>
      </c>
      <c r="I23" s="10"/>
      <c r="J23" s="10"/>
      <c r="K23" s="10" t="s">
        <v>101</v>
      </c>
      <c r="L23" s="12">
        <f>计价规则!$B$2+计价规则!$B$3*MAX(0,IF(H23="",0,LEN(H23)-LEN(SUBSTITUTE(H23,"、",""))+1)-(IF(ISNUMBER(SEARCH("WiFi通信模块",H23)),1,0)+IF(ISNUMBER(SEARCH("ESP8266 WiFi模块",H23)),1,0)+IF(ISNUMBER(SEARCH("NRF24L01无线通信模块",H23)),1,0)+IF(ISNUMBER(SEARCH("蓝牙模块",H23)),1,0)+IF(ISNUMBER(SEARCH("语音识别模块",H23)),1,0)+IF(ISNUMBER(SEARCH("语音播报模块",H23)),1,0)+IF(ISNUMBER(SEARCH("RFID模块",H23)),1,0)+IF(ISNUMBER(SEARCH("RFID读卡模块",H23)),1,0)+IF(ISNUMBER(SEARCH("GPS定位模块",H23)),1,0)+IF(ISNUMBER(SEARCH("GSM通信模块",H23)),1,0)+IF(ISNUMBER(SEARCH("摄像头模块",H23)),1,0)+IF(ISNUMBER(SEARCH("人脸识别模块",H23)),1,0)+IF(ISNUMBER(SEARCH("手势识别传感器",H23)),1,0)))</f>
        <v>90</v>
      </c>
      <c r="M23" s="12">
        <f>计价规则!$B$4+计价规则!$B$5*IF(H23="",0,LEN(H23)-LEN(SUBSTITUTE(H23,"、",""))+1)</f>
        <v>110</v>
      </c>
      <c r="N23" s="12"/>
      <c r="O23" s="12">
        <f>计价规则!$B$6</f>
        <v>100</v>
      </c>
      <c r="P23" s="12">
        <f>计价规则!$B$6</f>
        <v>100</v>
      </c>
      <c r="Q23" s="12">
        <f>计价规则!$B$6</f>
        <v>100</v>
      </c>
      <c r="R23" s="12">
        <f>计价规则!$B$7</f>
        <v>400</v>
      </c>
      <c r="S23" s="8" t="s">
        <v>26</v>
      </c>
      <c r="T23" s="13">
        <v>22</v>
      </c>
    </row>
    <row r="24" ht="26" customHeight="1" spans="1:20">
      <c r="A24" s="8">
        <f t="shared" si="0"/>
        <v>23</v>
      </c>
      <c r="B24" s="8" t="s">
        <v>75</v>
      </c>
      <c r="C24" s="9" t="s">
        <v>102</v>
      </c>
      <c r="D24" s="10" t="s">
        <v>103</v>
      </c>
      <c r="E24" s="11" t="s">
        <v>23</v>
      </c>
      <c r="F24" s="11"/>
      <c r="G24" s="10" t="s">
        <v>54</v>
      </c>
      <c r="H24" s="10" t="s">
        <v>66</v>
      </c>
      <c r="I24" s="10"/>
      <c r="J24" s="10"/>
      <c r="K24" s="10"/>
      <c r="L24" s="12">
        <f>计价规则!$B$2+计价规则!$B$3*MAX(0,IF(H24="",0,LEN(H24)-LEN(SUBSTITUTE(H24,"、",""))+1)-(IF(ISNUMBER(SEARCH("WiFi通信模块",H24)),1,0)+IF(ISNUMBER(SEARCH("ESP8266 WiFi模块",H24)),1,0)+IF(ISNUMBER(SEARCH("NRF24L01无线通信模块",H24)),1,0)+IF(ISNUMBER(SEARCH("蓝牙模块",H24)),1,0)+IF(ISNUMBER(SEARCH("语音识别模块",H24)),1,0)+IF(ISNUMBER(SEARCH("语音播报模块",H24)),1,0)+IF(ISNUMBER(SEARCH("RFID模块",H24)),1,0)+IF(ISNUMBER(SEARCH("RFID读卡模块",H24)),1,0)+IF(ISNUMBER(SEARCH("GPS定位模块",H24)),1,0)+IF(ISNUMBER(SEARCH("GSM通信模块",H24)),1,0)+IF(ISNUMBER(SEARCH("摄像头模块",H24)),1,0)+IF(ISNUMBER(SEARCH("人脸识别模块",H24)),1,0)+IF(ISNUMBER(SEARCH("手势识别传感器",H24)),1,0)))</f>
        <v>90</v>
      </c>
      <c r="M24" s="12">
        <f>计价规则!$B$4+计价规则!$B$5*IF(H24="",0,LEN(H24)-LEN(SUBSTITUTE(H24,"、",""))+1)</f>
        <v>90</v>
      </c>
      <c r="N24" s="12"/>
      <c r="O24" s="12">
        <f>计价规则!$B$6</f>
        <v>100</v>
      </c>
      <c r="P24" s="12">
        <f>计价规则!$B$6</f>
        <v>100</v>
      </c>
      <c r="Q24" s="12">
        <f>计价规则!$B$6</f>
        <v>100</v>
      </c>
      <c r="R24" s="12">
        <f>计价规则!$B$7</f>
        <v>400</v>
      </c>
      <c r="S24" s="8" t="s">
        <v>26</v>
      </c>
      <c r="T24" s="13">
        <v>23</v>
      </c>
    </row>
    <row r="25" ht="26" customHeight="1" spans="1:20">
      <c r="A25" s="8">
        <f t="shared" si="0"/>
        <v>24</v>
      </c>
      <c r="B25" s="8" t="s">
        <v>75</v>
      </c>
      <c r="C25" s="9" t="s">
        <v>104</v>
      </c>
      <c r="D25" s="10" t="s">
        <v>105</v>
      </c>
      <c r="E25" s="11" t="s">
        <v>23</v>
      </c>
      <c r="F25" s="11"/>
      <c r="G25" s="10" t="s">
        <v>24</v>
      </c>
      <c r="H25" s="10" t="s">
        <v>106</v>
      </c>
      <c r="I25" s="10"/>
      <c r="J25" s="10"/>
      <c r="K25" s="10"/>
      <c r="L25" s="12">
        <f>计价规则!$B$2+计价规则!$B$3*MAX(0,IF(H25="",0,LEN(H25)-LEN(SUBSTITUTE(H25,"、",""))+1)-(IF(ISNUMBER(SEARCH("WiFi通信模块",H25)),1,0)+IF(ISNUMBER(SEARCH("ESP8266 WiFi模块",H25)),1,0)+IF(ISNUMBER(SEARCH("NRF24L01无线通信模块",H25)),1,0)+IF(ISNUMBER(SEARCH("蓝牙模块",H25)),1,0)+IF(ISNUMBER(SEARCH("语音识别模块",H25)),1,0)+IF(ISNUMBER(SEARCH("语音播报模块",H25)),1,0)+IF(ISNUMBER(SEARCH("RFID模块",H25)),1,0)+IF(ISNUMBER(SEARCH("RFID读卡模块",H25)),1,0)+IF(ISNUMBER(SEARCH("GPS定位模块",H25)),1,0)+IF(ISNUMBER(SEARCH("GSM通信模块",H25)),1,0)+IF(ISNUMBER(SEARCH("摄像头模块",H25)),1,0)+IF(ISNUMBER(SEARCH("人脸识别模块",H25)),1,0)+IF(ISNUMBER(SEARCH("手势识别传感器",H25)),1,0)))</f>
        <v>90</v>
      </c>
      <c r="M25" s="12">
        <f>计价规则!$B$4+计价规则!$B$5*IF(H25="",0,LEN(H25)-LEN(SUBSTITUTE(H25,"、",""))+1)</f>
        <v>90</v>
      </c>
      <c r="N25" s="12"/>
      <c r="O25" s="12">
        <f>计价规则!$B$6</f>
        <v>100</v>
      </c>
      <c r="P25" s="12">
        <f>计价规则!$B$6</f>
        <v>100</v>
      </c>
      <c r="Q25" s="12">
        <f>计价规则!$B$6</f>
        <v>100</v>
      </c>
      <c r="R25" s="12">
        <f>计价规则!$B$7</f>
        <v>400</v>
      </c>
      <c r="S25" s="8" t="s">
        <v>26</v>
      </c>
      <c r="T25" s="13">
        <v>24</v>
      </c>
    </row>
    <row r="26" ht="26" customHeight="1" spans="1:20">
      <c r="A26" s="8">
        <f t="shared" si="0"/>
        <v>25</v>
      </c>
      <c r="B26" s="8" t="s">
        <v>75</v>
      </c>
      <c r="C26" s="9" t="s">
        <v>107</v>
      </c>
      <c r="D26" s="10" t="s">
        <v>108</v>
      </c>
      <c r="E26" s="11" t="s">
        <v>23</v>
      </c>
      <c r="F26" s="11"/>
      <c r="G26" s="10" t="s">
        <v>24</v>
      </c>
      <c r="H26" s="10" t="s">
        <v>51</v>
      </c>
      <c r="I26" s="10"/>
      <c r="J26" s="10"/>
      <c r="K26" s="10"/>
      <c r="L26" s="12">
        <f>计价规则!$B$2+计价规则!$B$3*MAX(0,IF(H26="",0,LEN(H26)-LEN(SUBSTITUTE(H26,"、",""))+1)-(IF(ISNUMBER(SEARCH("WiFi通信模块",H26)),1,0)+IF(ISNUMBER(SEARCH("ESP8266 WiFi模块",H26)),1,0)+IF(ISNUMBER(SEARCH("NRF24L01无线通信模块",H26)),1,0)+IF(ISNUMBER(SEARCH("蓝牙模块",H26)),1,0)+IF(ISNUMBER(SEARCH("语音识别模块",H26)),1,0)+IF(ISNUMBER(SEARCH("语音播报模块",H26)),1,0)+IF(ISNUMBER(SEARCH("RFID模块",H26)),1,0)+IF(ISNUMBER(SEARCH("RFID读卡模块",H26)),1,0)+IF(ISNUMBER(SEARCH("GPS定位模块",H26)),1,0)+IF(ISNUMBER(SEARCH("GSM通信模块",H26)),1,0)+IF(ISNUMBER(SEARCH("摄像头模块",H26)),1,0)+IF(ISNUMBER(SEARCH("人脸识别模块",H26)),1,0)+IF(ISNUMBER(SEARCH("手势识别传感器",H26)),1,0)))</f>
        <v>75</v>
      </c>
      <c r="M26" s="12">
        <f>计价规则!$B$4+计价规则!$B$5*IF(H26="",0,LEN(H26)-LEN(SUBSTITUTE(H26,"、",""))+1)</f>
        <v>70</v>
      </c>
      <c r="N26" s="12"/>
      <c r="O26" s="12">
        <f>计价规则!$B$6</f>
        <v>100</v>
      </c>
      <c r="P26" s="12">
        <f>计价规则!$B$6</f>
        <v>100</v>
      </c>
      <c r="Q26" s="12">
        <f>计价规则!$B$6</f>
        <v>100</v>
      </c>
      <c r="R26" s="12">
        <f>计价规则!$B$7</f>
        <v>400</v>
      </c>
      <c r="S26" s="8" t="s">
        <v>26</v>
      </c>
      <c r="T26" s="13">
        <v>25</v>
      </c>
    </row>
    <row r="27" ht="26" customHeight="1" spans="1:20">
      <c r="A27" s="8">
        <f t="shared" si="0"/>
        <v>26</v>
      </c>
      <c r="B27" s="8" t="s">
        <v>75</v>
      </c>
      <c r="C27" s="9" t="s">
        <v>109</v>
      </c>
      <c r="D27" s="10" t="s">
        <v>110</v>
      </c>
      <c r="E27" s="11" t="s">
        <v>23</v>
      </c>
      <c r="F27" s="11"/>
      <c r="G27" s="10" t="s">
        <v>24</v>
      </c>
      <c r="H27" s="10" t="s">
        <v>111</v>
      </c>
      <c r="I27" s="10"/>
      <c r="J27" s="10"/>
      <c r="K27" s="10"/>
      <c r="L27" s="12">
        <f>计价规则!$B$2+计价规则!$B$3*MAX(0,IF(H27="",0,LEN(H27)-LEN(SUBSTITUTE(H27,"、",""))+1)-(IF(ISNUMBER(SEARCH("WiFi通信模块",H27)),1,0)+IF(ISNUMBER(SEARCH("ESP8266 WiFi模块",H27)),1,0)+IF(ISNUMBER(SEARCH("NRF24L01无线通信模块",H27)),1,0)+IF(ISNUMBER(SEARCH("蓝牙模块",H27)),1,0)+IF(ISNUMBER(SEARCH("语音识别模块",H27)),1,0)+IF(ISNUMBER(SEARCH("语音播报模块",H27)),1,0)+IF(ISNUMBER(SEARCH("RFID模块",H27)),1,0)+IF(ISNUMBER(SEARCH("RFID读卡模块",H27)),1,0)+IF(ISNUMBER(SEARCH("GPS定位模块",H27)),1,0)+IF(ISNUMBER(SEARCH("GSM通信模块",H27)),1,0)+IF(ISNUMBER(SEARCH("摄像头模块",H27)),1,0)+IF(ISNUMBER(SEARCH("人脸识别模块",H27)),1,0)+IF(ISNUMBER(SEARCH("手势识别传感器",H27)),1,0)))</f>
        <v>90</v>
      </c>
      <c r="M27" s="12">
        <f>计价规则!$B$4+计价规则!$B$5*IF(H27="",0,LEN(H27)-LEN(SUBSTITUTE(H27,"、",""))+1)</f>
        <v>90</v>
      </c>
      <c r="N27" s="12"/>
      <c r="O27" s="12">
        <f>计价规则!$B$6</f>
        <v>100</v>
      </c>
      <c r="P27" s="12">
        <f>计价规则!$B$6</f>
        <v>100</v>
      </c>
      <c r="Q27" s="12">
        <f>计价规则!$B$6</f>
        <v>100</v>
      </c>
      <c r="R27" s="12">
        <f>计价规则!$B$7</f>
        <v>400</v>
      </c>
      <c r="S27" s="8" t="s">
        <v>26</v>
      </c>
      <c r="T27" s="13">
        <v>26</v>
      </c>
    </row>
    <row r="28" ht="26" customHeight="1" spans="1:20">
      <c r="A28" s="8">
        <f t="shared" si="0"/>
        <v>27</v>
      </c>
      <c r="B28" s="8" t="s">
        <v>75</v>
      </c>
      <c r="C28" s="9" t="s">
        <v>112</v>
      </c>
      <c r="D28" s="10" t="s">
        <v>113</v>
      </c>
      <c r="E28" s="11" t="s">
        <v>23</v>
      </c>
      <c r="F28" s="11"/>
      <c r="G28" s="10" t="s">
        <v>114</v>
      </c>
      <c r="H28" s="10" t="s">
        <v>115</v>
      </c>
      <c r="I28" s="10"/>
      <c r="J28" s="10"/>
      <c r="K28" s="10"/>
      <c r="L28" s="12">
        <f>计价规则!$B$2+计价规则!$B$3*MAX(0,IF(H28="",0,LEN(H28)-LEN(SUBSTITUTE(H28,"、",""))+1)-(IF(ISNUMBER(SEARCH("WiFi通信模块",H28)),1,0)+IF(ISNUMBER(SEARCH("ESP8266 WiFi模块",H28)),1,0)+IF(ISNUMBER(SEARCH("NRF24L01无线通信模块",H28)),1,0)+IF(ISNUMBER(SEARCH("蓝牙模块",H28)),1,0)+IF(ISNUMBER(SEARCH("语音识别模块",H28)),1,0)+IF(ISNUMBER(SEARCH("语音播报模块",H28)),1,0)+IF(ISNUMBER(SEARCH("RFID模块",H28)),1,0)+IF(ISNUMBER(SEARCH("RFID读卡模块",H28)),1,0)+IF(ISNUMBER(SEARCH("GPS定位模块",H28)),1,0)+IF(ISNUMBER(SEARCH("GSM通信模块",H28)),1,0)+IF(ISNUMBER(SEARCH("摄像头模块",H28)),1,0)+IF(ISNUMBER(SEARCH("人脸识别模块",H28)),1,0)+IF(ISNUMBER(SEARCH("手势识别传感器",H28)),1,0)))</f>
        <v>90</v>
      </c>
      <c r="M28" s="12">
        <f>计价规则!$B$4+计价规则!$B$5*IF(H28="",0,LEN(H28)-LEN(SUBSTITUTE(H28,"、",""))+1)</f>
        <v>90</v>
      </c>
      <c r="N28" s="12"/>
      <c r="O28" s="12">
        <f>计价规则!$B$6</f>
        <v>100</v>
      </c>
      <c r="P28" s="12">
        <f>计价规则!$B$6</f>
        <v>100</v>
      </c>
      <c r="Q28" s="12">
        <f>计价规则!$B$6</f>
        <v>100</v>
      </c>
      <c r="R28" s="12">
        <f>计价规则!$B$7</f>
        <v>400</v>
      </c>
      <c r="S28" s="8" t="s">
        <v>26</v>
      </c>
      <c r="T28" s="13">
        <v>27</v>
      </c>
    </row>
    <row r="29" ht="26" customHeight="1" spans="1:20">
      <c r="A29" s="8">
        <f t="shared" si="0"/>
        <v>28</v>
      </c>
      <c r="B29" s="8" t="s">
        <v>75</v>
      </c>
      <c r="C29" s="9" t="s">
        <v>116</v>
      </c>
      <c r="D29" s="10" t="s">
        <v>117</v>
      </c>
      <c r="E29" s="11" t="s">
        <v>23</v>
      </c>
      <c r="F29" s="11"/>
      <c r="G29" s="10" t="s">
        <v>118</v>
      </c>
      <c r="H29" s="10" t="s">
        <v>119</v>
      </c>
      <c r="I29" s="10"/>
      <c r="J29" s="10"/>
      <c r="K29" s="10" t="s">
        <v>120</v>
      </c>
      <c r="L29" s="12">
        <f>计价规则!$B$2+计价规则!$B$3*MAX(0,IF(H29="",0,LEN(H29)-LEN(SUBSTITUTE(H29,"、",""))+1)-(IF(ISNUMBER(SEARCH("WiFi通信模块",H29)),1,0)+IF(ISNUMBER(SEARCH("ESP8266 WiFi模块",H29)),1,0)+IF(ISNUMBER(SEARCH("NRF24L01无线通信模块",H29)),1,0)+IF(ISNUMBER(SEARCH("蓝牙模块",H29)),1,0)+IF(ISNUMBER(SEARCH("语音识别模块",H29)),1,0)+IF(ISNUMBER(SEARCH("语音播报模块",H29)),1,0)+IF(ISNUMBER(SEARCH("RFID模块",H29)),1,0)+IF(ISNUMBER(SEARCH("RFID读卡模块",H29)),1,0)+IF(ISNUMBER(SEARCH("GPS定位模块",H29)),1,0)+IF(ISNUMBER(SEARCH("GSM通信模块",H29)),1,0)+IF(ISNUMBER(SEARCH("摄像头模块",H29)),1,0)+IF(ISNUMBER(SEARCH("人脸识别模块",H29)),1,0)+IF(ISNUMBER(SEARCH("手势识别传感器",H29)),1,0)))</f>
        <v>75</v>
      </c>
      <c r="M29" s="12">
        <f>计价规则!$B$4+计价规则!$B$5*IF(H29="",0,LEN(H29)-LEN(SUBSTITUTE(H29,"、",""))+1)</f>
        <v>90</v>
      </c>
      <c r="N29" s="12"/>
      <c r="O29" s="12">
        <f>计价规则!$B$6</f>
        <v>100</v>
      </c>
      <c r="P29" s="12">
        <f>计价规则!$B$6</f>
        <v>100</v>
      </c>
      <c r="Q29" s="12">
        <f>计价规则!$B$6</f>
        <v>100</v>
      </c>
      <c r="R29" s="12">
        <f>计价规则!$B$7</f>
        <v>400</v>
      </c>
      <c r="S29" s="8" t="s">
        <v>26</v>
      </c>
      <c r="T29" s="13">
        <v>28</v>
      </c>
    </row>
    <row r="30" ht="26" customHeight="1" spans="1:20">
      <c r="A30" s="8">
        <f t="shared" si="0"/>
        <v>29</v>
      </c>
      <c r="B30" s="8" t="s">
        <v>75</v>
      </c>
      <c r="C30" s="9" t="s">
        <v>121</v>
      </c>
      <c r="D30" s="10" t="s">
        <v>122</v>
      </c>
      <c r="E30" s="11" t="s">
        <v>23</v>
      </c>
      <c r="F30" s="11"/>
      <c r="G30" s="10" t="s">
        <v>123</v>
      </c>
      <c r="H30" s="10" t="s">
        <v>124</v>
      </c>
      <c r="I30" s="10"/>
      <c r="J30" s="10"/>
      <c r="K30" s="10"/>
      <c r="L30" s="12">
        <f>计价规则!$B$2+计价规则!$B$3*MAX(0,IF(H30="",0,LEN(H30)-LEN(SUBSTITUTE(H30,"、",""))+1)-(IF(ISNUMBER(SEARCH("WiFi通信模块",H30)),1,0)+IF(ISNUMBER(SEARCH("ESP8266 WiFi模块",H30)),1,0)+IF(ISNUMBER(SEARCH("NRF24L01无线通信模块",H30)),1,0)+IF(ISNUMBER(SEARCH("蓝牙模块",H30)),1,0)+IF(ISNUMBER(SEARCH("语音识别模块",H30)),1,0)+IF(ISNUMBER(SEARCH("语音播报模块",H30)),1,0)+IF(ISNUMBER(SEARCH("RFID模块",H30)),1,0)+IF(ISNUMBER(SEARCH("RFID读卡模块",H30)),1,0)+IF(ISNUMBER(SEARCH("GPS定位模块",H30)),1,0)+IF(ISNUMBER(SEARCH("GSM通信模块",H30)),1,0)+IF(ISNUMBER(SEARCH("摄像头模块",H30)),1,0)+IF(ISNUMBER(SEARCH("人脸识别模块",H30)),1,0)+IF(ISNUMBER(SEARCH("手势识别传感器",H30)),1,0)))</f>
        <v>90</v>
      </c>
      <c r="M30" s="12">
        <f>计价规则!$B$4+计价规则!$B$5*IF(H30="",0,LEN(H30)-LEN(SUBSTITUTE(H30,"、",""))+1)</f>
        <v>90</v>
      </c>
      <c r="N30" s="12"/>
      <c r="O30" s="12">
        <f>计价规则!$B$6</f>
        <v>100</v>
      </c>
      <c r="P30" s="12">
        <f>计价规则!$B$6</f>
        <v>100</v>
      </c>
      <c r="Q30" s="12">
        <f>计价规则!$B$6</f>
        <v>100</v>
      </c>
      <c r="R30" s="12">
        <f>计价规则!$B$7</f>
        <v>400</v>
      </c>
      <c r="S30" s="8" t="s">
        <v>26</v>
      </c>
      <c r="T30" s="13">
        <v>29</v>
      </c>
    </row>
    <row r="31" ht="26" customHeight="1" spans="1:20">
      <c r="A31" s="8">
        <f t="shared" si="0"/>
        <v>30</v>
      </c>
      <c r="B31" s="8" t="s">
        <v>75</v>
      </c>
      <c r="C31" s="9" t="s">
        <v>125</v>
      </c>
      <c r="D31" s="10" t="s">
        <v>126</v>
      </c>
      <c r="E31" s="11" t="s">
        <v>23</v>
      </c>
      <c r="F31" s="11"/>
      <c r="G31" s="10" t="s">
        <v>69</v>
      </c>
      <c r="H31" s="10" t="s">
        <v>127</v>
      </c>
      <c r="I31" s="10"/>
      <c r="J31" s="10"/>
      <c r="K31" s="10" t="s">
        <v>128</v>
      </c>
      <c r="L31" s="12">
        <f>计价规则!$B$2+计价规则!$B$3*MAX(0,IF(H31="",0,LEN(H31)-LEN(SUBSTITUTE(H31,"、",""))+1)-(IF(ISNUMBER(SEARCH("WiFi通信模块",H31)),1,0)+IF(ISNUMBER(SEARCH("ESP8266 WiFi模块",H31)),1,0)+IF(ISNUMBER(SEARCH("NRF24L01无线通信模块",H31)),1,0)+IF(ISNUMBER(SEARCH("蓝牙模块",H31)),1,0)+IF(ISNUMBER(SEARCH("语音识别模块",H31)),1,0)+IF(ISNUMBER(SEARCH("语音播报模块",H31)),1,0)+IF(ISNUMBER(SEARCH("RFID模块",H31)),1,0)+IF(ISNUMBER(SEARCH("RFID读卡模块",H31)),1,0)+IF(ISNUMBER(SEARCH("GPS定位模块",H31)),1,0)+IF(ISNUMBER(SEARCH("GSM通信模块",H31)),1,0)+IF(ISNUMBER(SEARCH("摄像头模块",H31)),1,0)+IF(ISNUMBER(SEARCH("人脸识别模块",H31)),1,0)+IF(ISNUMBER(SEARCH("手势识别传感器",H31)),1,0)))</f>
        <v>90</v>
      </c>
      <c r="M31" s="12">
        <f>计价规则!$B$4+计价规则!$B$5*IF(H31="",0,LEN(H31)-LEN(SUBSTITUTE(H31,"、",""))+1)</f>
        <v>110</v>
      </c>
      <c r="N31" s="12"/>
      <c r="O31" s="12">
        <f>计价规则!$B$6</f>
        <v>100</v>
      </c>
      <c r="P31" s="12">
        <f>计价规则!$B$6</f>
        <v>100</v>
      </c>
      <c r="Q31" s="12">
        <f>计价规则!$B$6</f>
        <v>100</v>
      </c>
      <c r="R31" s="12">
        <f>计价规则!$B$7</f>
        <v>400</v>
      </c>
      <c r="S31" s="8" t="s">
        <v>26</v>
      </c>
      <c r="T31" s="13">
        <v>30</v>
      </c>
    </row>
    <row r="32" ht="26" customHeight="1" spans="1:20">
      <c r="A32" s="8">
        <f t="shared" si="0"/>
        <v>31</v>
      </c>
      <c r="B32" s="8" t="s">
        <v>75</v>
      </c>
      <c r="C32" s="9" t="s">
        <v>129</v>
      </c>
      <c r="D32" s="10" t="s">
        <v>130</v>
      </c>
      <c r="E32" s="11" t="s">
        <v>23</v>
      </c>
      <c r="F32" s="11"/>
      <c r="G32" s="10" t="s">
        <v>131</v>
      </c>
      <c r="H32" s="10" t="s">
        <v>132</v>
      </c>
      <c r="I32" s="10"/>
      <c r="J32" s="10"/>
      <c r="K32" s="10"/>
      <c r="L32" s="12">
        <f>计价规则!$B$2+计价规则!$B$3*MAX(0,IF(H32="",0,LEN(H32)-LEN(SUBSTITUTE(H32,"、",""))+1)-(IF(ISNUMBER(SEARCH("WiFi通信模块",H32)),1,0)+IF(ISNUMBER(SEARCH("ESP8266 WiFi模块",H32)),1,0)+IF(ISNUMBER(SEARCH("NRF24L01无线通信模块",H32)),1,0)+IF(ISNUMBER(SEARCH("蓝牙模块",H32)),1,0)+IF(ISNUMBER(SEARCH("语音识别模块",H32)),1,0)+IF(ISNUMBER(SEARCH("语音播报模块",H32)),1,0)+IF(ISNUMBER(SEARCH("RFID模块",H32)),1,0)+IF(ISNUMBER(SEARCH("RFID读卡模块",H32)),1,0)+IF(ISNUMBER(SEARCH("GPS定位模块",H32)),1,0)+IF(ISNUMBER(SEARCH("GSM通信模块",H32)),1,0)+IF(ISNUMBER(SEARCH("摄像头模块",H32)),1,0)+IF(ISNUMBER(SEARCH("人脸识别模块",H32)),1,0)+IF(ISNUMBER(SEARCH("手势识别传感器",H32)),1,0)))</f>
        <v>90</v>
      </c>
      <c r="M32" s="12">
        <f>计价规则!$B$4+计价规则!$B$5*IF(H32="",0,LEN(H32)-LEN(SUBSTITUTE(H32,"、",""))+1)</f>
        <v>90</v>
      </c>
      <c r="N32" s="12"/>
      <c r="O32" s="12">
        <f>计价规则!$B$6</f>
        <v>100</v>
      </c>
      <c r="P32" s="12">
        <f>计价规则!$B$6</f>
        <v>100</v>
      </c>
      <c r="Q32" s="12">
        <f>计价规则!$B$6</f>
        <v>100</v>
      </c>
      <c r="R32" s="12">
        <f>计价规则!$B$7</f>
        <v>400</v>
      </c>
      <c r="S32" s="8" t="s">
        <v>26</v>
      </c>
      <c r="T32" s="13">
        <v>31</v>
      </c>
    </row>
    <row r="33" ht="26" customHeight="1" spans="1:20">
      <c r="A33" s="8">
        <f t="shared" si="0"/>
        <v>32</v>
      </c>
      <c r="B33" s="8" t="s">
        <v>75</v>
      </c>
      <c r="C33" s="9" t="s">
        <v>133</v>
      </c>
      <c r="D33" s="10" t="s">
        <v>134</v>
      </c>
      <c r="E33" s="11" t="s">
        <v>23</v>
      </c>
      <c r="F33" s="11"/>
      <c r="G33" s="10" t="s">
        <v>54</v>
      </c>
      <c r="H33" s="10" t="s">
        <v>135</v>
      </c>
      <c r="I33" s="10"/>
      <c r="J33" s="10"/>
      <c r="K33" s="10"/>
      <c r="L33" s="12">
        <f>计价规则!$B$2+计价规则!$B$3*MAX(0,IF(H33="",0,LEN(H33)-LEN(SUBSTITUTE(H33,"、",""))+1)-(IF(ISNUMBER(SEARCH("WiFi通信模块",H33)),1,0)+IF(ISNUMBER(SEARCH("ESP8266 WiFi模块",H33)),1,0)+IF(ISNUMBER(SEARCH("NRF24L01无线通信模块",H33)),1,0)+IF(ISNUMBER(SEARCH("蓝牙模块",H33)),1,0)+IF(ISNUMBER(SEARCH("语音识别模块",H33)),1,0)+IF(ISNUMBER(SEARCH("语音播报模块",H33)),1,0)+IF(ISNUMBER(SEARCH("RFID模块",H33)),1,0)+IF(ISNUMBER(SEARCH("RFID读卡模块",H33)),1,0)+IF(ISNUMBER(SEARCH("GPS定位模块",H33)),1,0)+IF(ISNUMBER(SEARCH("GSM通信模块",H33)),1,0)+IF(ISNUMBER(SEARCH("摄像头模块",H33)),1,0)+IF(ISNUMBER(SEARCH("人脸识别模块",H33)),1,0)+IF(ISNUMBER(SEARCH("手势识别传感器",H33)),1,0)))</f>
        <v>90</v>
      </c>
      <c r="M33" s="12">
        <f>计价规则!$B$4+计价规则!$B$5*IF(H33="",0,LEN(H33)-LEN(SUBSTITUTE(H33,"、",""))+1)</f>
        <v>90</v>
      </c>
      <c r="N33" s="12"/>
      <c r="O33" s="12">
        <f>计价规则!$B$6</f>
        <v>100</v>
      </c>
      <c r="P33" s="12">
        <f>计价规则!$B$6</f>
        <v>100</v>
      </c>
      <c r="Q33" s="12">
        <f>计价规则!$B$6</f>
        <v>100</v>
      </c>
      <c r="R33" s="12">
        <f>计价规则!$B$7</f>
        <v>400</v>
      </c>
      <c r="S33" s="8" t="s">
        <v>26</v>
      </c>
      <c r="T33" s="13">
        <v>32</v>
      </c>
    </row>
    <row r="34" ht="26" customHeight="1" spans="1:20">
      <c r="A34" s="8">
        <f t="shared" si="0"/>
        <v>33</v>
      </c>
      <c r="B34" s="8" t="s">
        <v>75</v>
      </c>
      <c r="C34" s="9" t="s">
        <v>136</v>
      </c>
      <c r="D34" s="10" t="s">
        <v>137</v>
      </c>
      <c r="E34" s="11" t="s">
        <v>23</v>
      </c>
      <c r="F34" s="11"/>
      <c r="G34" s="10" t="s">
        <v>138</v>
      </c>
      <c r="H34" s="10" t="s">
        <v>139</v>
      </c>
      <c r="I34" s="10"/>
      <c r="J34" s="10"/>
      <c r="K34" s="10"/>
      <c r="L34" s="12">
        <f>计价规则!$B$2+计价规则!$B$3*MAX(0,IF(H34="",0,LEN(H34)-LEN(SUBSTITUTE(H34,"、",""))+1)-(IF(ISNUMBER(SEARCH("WiFi通信模块",H34)),1,0)+IF(ISNUMBER(SEARCH("ESP8266 WiFi模块",H34)),1,0)+IF(ISNUMBER(SEARCH("NRF24L01无线通信模块",H34)),1,0)+IF(ISNUMBER(SEARCH("蓝牙模块",H34)),1,0)+IF(ISNUMBER(SEARCH("语音识别模块",H34)),1,0)+IF(ISNUMBER(SEARCH("语音播报模块",H34)),1,0)+IF(ISNUMBER(SEARCH("RFID模块",H34)),1,0)+IF(ISNUMBER(SEARCH("RFID读卡模块",H34)),1,0)+IF(ISNUMBER(SEARCH("GPS定位模块",H34)),1,0)+IF(ISNUMBER(SEARCH("GSM通信模块",H34)),1,0)+IF(ISNUMBER(SEARCH("摄像头模块",H34)),1,0)+IF(ISNUMBER(SEARCH("人脸识别模块",H34)),1,0)+IF(ISNUMBER(SEARCH("手势识别传感器",H34)),1,0)))</f>
        <v>120</v>
      </c>
      <c r="M34" s="12">
        <f>计价规则!$B$4+计价规则!$B$5*IF(H34="",0,LEN(H34)-LEN(SUBSTITUTE(H34,"、",""))+1)</f>
        <v>130</v>
      </c>
      <c r="N34" s="12"/>
      <c r="O34" s="12">
        <f>计价规则!$B$6</f>
        <v>100</v>
      </c>
      <c r="P34" s="12">
        <f>计价规则!$B$6</f>
        <v>100</v>
      </c>
      <c r="Q34" s="12">
        <f>计价规则!$B$6</f>
        <v>100</v>
      </c>
      <c r="R34" s="12">
        <f>计价规则!$B$7</f>
        <v>400</v>
      </c>
      <c r="S34" s="8" t="s">
        <v>26</v>
      </c>
      <c r="T34" s="13">
        <v>33</v>
      </c>
    </row>
    <row r="35" ht="26" customHeight="1" spans="1:20">
      <c r="A35" s="8">
        <f t="shared" si="0"/>
        <v>34</v>
      </c>
      <c r="B35" s="8" t="s">
        <v>75</v>
      </c>
      <c r="C35" s="9" t="s">
        <v>140</v>
      </c>
      <c r="D35" s="10" t="s">
        <v>141</v>
      </c>
      <c r="E35" s="11" t="s">
        <v>23</v>
      </c>
      <c r="F35" s="11"/>
      <c r="G35" s="10" t="s">
        <v>138</v>
      </c>
      <c r="H35" s="10" t="s">
        <v>142</v>
      </c>
      <c r="I35" s="10"/>
      <c r="J35" s="10"/>
      <c r="K35" s="10"/>
      <c r="L35" s="12">
        <f>计价规则!$B$2+计价规则!$B$3*MAX(0,IF(H35="",0,LEN(H35)-LEN(SUBSTITUTE(H35,"、",""))+1)-(IF(ISNUMBER(SEARCH("WiFi通信模块",H35)),1,0)+IF(ISNUMBER(SEARCH("ESP8266 WiFi模块",H35)),1,0)+IF(ISNUMBER(SEARCH("NRF24L01无线通信模块",H35)),1,0)+IF(ISNUMBER(SEARCH("蓝牙模块",H35)),1,0)+IF(ISNUMBER(SEARCH("语音识别模块",H35)),1,0)+IF(ISNUMBER(SEARCH("语音播报模块",H35)),1,0)+IF(ISNUMBER(SEARCH("RFID模块",H35)),1,0)+IF(ISNUMBER(SEARCH("RFID读卡模块",H35)),1,0)+IF(ISNUMBER(SEARCH("GPS定位模块",H35)),1,0)+IF(ISNUMBER(SEARCH("GSM通信模块",H35)),1,0)+IF(ISNUMBER(SEARCH("摄像头模块",H35)),1,0)+IF(ISNUMBER(SEARCH("人脸识别模块",H35)),1,0)+IF(ISNUMBER(SEARCH("手势识别传感器",H35)),1,0)))</f>
        <v>120</v>
      </c>
      <c r="M35" s="12">
        <f>计价规则!$B$4+计价规则!$B$5*IF(H35="",0,LEN(H35)-LEN(SUBSTITUTE(H35,"、",""))+1)</f>
        <v>130</v>
      </c>
      <c r="N35" s="12"/>
      <c r="O35" s="12">
        <f>计价规则!$B$6</f>
        <v>100</v>
      </c>
      <c r="P35" s="12">
        <f>计价规则!$B$6</f>
        <v>100</v>
      </c>
      <c r="Q35" s="12">
        <f>计价规则!$B$6</f>
        <v>100</v>
      </c>
      <c r="R35" s="12">
        <f>计价规则!$B$7</f>
        <v>400</v>
      </c>
      <c r="S35" s="8" t="s">
        <v>26</v>
      </c>
      <c r="T35" s="13">
        <v>34</v>
      </c>
    </row>
    <row r="36" ht="26" customHeight="1" spans="1:20">
      <c r="A36" s="8">
        <f t="shared" si="0"/>
        <v>35</v>
      </c>
      <c r="B36" s="8" t="s">
        <v>143</v>
      </c>
      <c r="C36" s="9" t="s">
        <v>144</v>
      </c>
      <c r="D36" s="10" t="s">
        <v>145</v>
      </c>
      <c r="E36" s="11" t="s">
        <v>23</v>
      </c>
      <c r="F36" s="11"/>
      <c r="G36" s="10" t="s">
        <v>146</v>
      </c>
      <c r="H36" s="10" t="s">
        <v>147</v>
      </c>
      <c r="I36" s="10"/>
      <c r="J36" s="10"/>
      <c r="K36" s="10"/>
      <c r="L36" s="12">
        <f>计价规则!$B$2+计价规则!$B$3*MAX(0,IF(H36="",0,LEN(H36)-LEN(SUBSTITUTE(H36,"、",""))+1)-(IF(ISNUMBER(SEARCH("WiFi通信模块",H36)),1,0)+IF(ISNUMBER(SEARCH("ESP8266 WiFi模块",H36)),1,0)+IF(ISNUMBER(SEARCH("NRF24L01无线通信模块",H36)),1,0)+IF(ISNUMBER(SEARCH("蓝牙模块",H36)),1,0)+IF(ISNUMBER(SEARCH("语音识别模块",H36)),1,0)+IF(ISNUMBER(SEARCH("语音播报模块",H36)),1,0)+IF(ISNUMBER(SEARCH("RFID模块",H36)),1,0)+IF(ISNUMBER(SEARCH("RFID读卡模块",H36)),1,0)+IF(ISNUMBER(SEARCH("GPS定位模块",H36)),1,0)+IF(ISNUMBER(SEARCH("GSM通信模块",H36)),1,0)+IF(ISNUMBER(SEARCH("摄像头模块",H36)),1,0)+IF(ISNUMBER(SEARCH("人脸识别模块",H36)),1,0)+IF(ISNUMBER(SEARCH("手势识别传感器",H36)),1,0)))</f>
        <v>90</v>
      </c>
      <c r="M36" s="12">
        <f>计价规则!$B$4+计价规则!$B$5*IF(H36="",0,LEN(H36)-LEN(SUBSTITUTE(H36,"、",""))+1)</f>
        <v>90</v>
      </c>
      <c r="N36" s="12"/>
      <c r="O36" s="12">
        <f>计价规则!$B$6</f>
        <v>100</v>
      </c>
      <c r="P36" s="12">
        <f>计价规则!$B$6</f>
        <v>100</v>
      </c>
      <c r="Q36" s="12">
        <f>计价规则!$B$6</f>
        <v>100</v>
      </c>
      <c r="R36" s="12">
        <f>计价规则!$B$7</f>
        <v>400</v>
      </c>
      <c r="S36" s="8" t="s">
        <v>26</v>
      </c>
      <c r="T36" s="13">
        <v>35</v>
      </c>
    </row>
    <row r="37" ht="26" customHeight="1" spans="1:20">
      <c r="A37" s="8">
        <f t="shared" si="0"/>
        <v>36</v>
      </c>
      <c r="B37" s="8" t="s">
        <v>143</v>
      </c>
      <c r="C37" s="9" t="s">
        <v>148</v>
      </c>
      <c r="D37" s="10" t="s">
        <v>149</v>
      </c>
      <c r="E37" s="11" t="s">
        <v>23</v>
      </c>
      <c r="F37" s="11"/>
      <c r="G37" s="10" t="s">
        <v>24</v>
      </c>
      <c r="H37" s="10" t="s">
        <v>150</v>
      </c>
      <c r="I37" s="10"/>
      <c r="J37" s="10"/>
      <c r="K37" s="10"/>
      <c r="L37" s="12">
        <f>计价规则!$B$2+计价规则!$B$3*MAX(0,IF(H37="",0,LEN(H37)-LEN(SUBSTITUTE(H37,"、",""))+1)-(IF(ISNUMBER(SEARCH("WiFi通信模块",H37)),1,0)+IF(ISNUMBER(SEARCH("ESP8266 WiFi模块",H37)),1,0)+IF(ISNUMBER(SEARCH("NRF24L01无线通信模块",H37)),1,0)+IF(ISNUMBER(SEARCH("蓝牙模块",H37)),1,0)+IF(ISNUMBER(SEARCH("语音识别模块",H37)),1,0)+IF(ISNUMBER(SEARCH("语音播报模块",H37)),1,0)+IF(ISNUMBER(SEARCH("RFID模块",H37)),1,0)+IF(ISNUMBER(SEARCH("RFID读卡模块",H37)),1,0)+IF(ISNUMBER(SEARCH("GPS定位模块",H37)),1,0)+IF(ISNUMBER(SEARCH("GSM通信模块",H37)),1,0)+IF(ISNUMBER(SEARCH("摄像头模块",H37)),1,0)+IF(ISNUMBER(SEARCH("人脸识别模块",H37)),1,0)+IF(ISNUMBER(SEARCH("手势识别传感器",H37)),1,0)))</f>
        <v>90</v>
      </c>
      <c r="M37" s="12">
        <f>计价规则!$B$4+计价规则!$B$5*IF(H37="",0,LEN(H37)-LEN(SUBSTITUTE(H37,"、",""))+1)</f>
        <v>90</v>
      </c>
      <c r="N37" s="12"/>
      <c r="O37" s="12">
        <f>计价规则!$B$6</f>
        <v>100</v>
      </c>
      <c r="P37" s="12">
        <f>计价规则!$B$6</f>
        <v>100</v>
      </c>
      <c r="Q37" s="12">
        <f>计价规则!$B$6</f>
        <v>100</v>
      </c>
      <c r="R37" s="12">
        <f>计价规则!$B$7</f>
        <v>400</v>
      </c>
      <c r="S37" s="8" t="s">
        <v>26</v>
      </c>
      <c r="T37" s="13">
        <v>36</v>
      </c>
    </row>
    <row r="38" ht="26" customHeight="1" spans="1:20">
      <c r="A38" s="8">
        <f t="shared" si="0"/>
        <v>37</v>
      </c>
      <c r="B38" s="8" t="s">
        <v>143</v>
      </c>
      <c r="C38" s="9" t="s">
        <v>151</v>
      </c>
      <c r="D38" s="10" t="s">
        <v>152</v>
      </c>
      <c r="E38" s="11" t="s">
        <v>23</v>
      </c>
      <c r="F38" s="11"/>
      <c r="G38" s="10" t="s">
        <v>58</v>
      </c>
      <c r="H38" s="10" t="s">
        <v>153</v>
      </c>
      <c r="I38" s="10"/>
      <c r="J38" s="10"/>
      <c r="K38" s="10"/>
      <c r="L38" s="12">
        <f>计价规则!$B$2+计价规则!$B$3*MAX(0,IF(H38="",0,LEN(H38)-LEN(SUBSTITUTE(H38,"、",""))+1)-(IF(ISNUMBER(SEARCH("WiFi通信模块",H38)),1,0)+IF(ISNUMBER(SEARCH("ESP8266 WiFi模块",H38)),1,0)+IF(ISNUMBER(SEARCH("NRF24L01无线通信模块",H38)),1,0)+IF(ISNUMBER(SEARCH("蓝牙模块",H38)),1,0)+IF(ISNUMBER(SEARCH("语音识别模块",H38)),1,0)+IF(ISNUMBER(SEARCH("语音播报模块",H38)),1,0)+IF(ISNUMBER(SEARCH("RFID模块",H38)),1,0)+IF(ISNUMBER(SEARCH("RFID读卡模块",H38)),1,0)+IF(ISNUMBER(SEARCH("GPS定位模块",H38)),1,0)+IF(ISNUMBER(SEARCH("GSM通信模块",H38)),1,0)+IF(ISNUMBER(SEARCH("摄像头模块",H38)),1,0)+IF(ISNUMBER(SEARCH("人脸识别模块",H38)),1,0)+IF(ISNUMBER(SEARCH("手势识别传感器",H38)),1,0)))</f>
        <v>90</v>
      </c>
      <c r="M38" s="12">
        <f>计价规则!$B$4+计价规则!$B$5*IF(H38="",0,LEN(H38)-LEN(SUBSTITUTE(H38,"、",""))+1)</f>
        <v>90</v>
      </c>
      <c r="N38" s="12"/>
      <c r="O38" s="12">
        <f>计价规则!$B$6</f>
        <v>100</v>
      </c>
      <c r="P38" s="12">
        <f>计价规则!$B$6</f>
        <v>100</v>
      </c>
      <c r="Q38" s="12">
        <f>计价规则!$B$6</f>
        <v>100</v>
      </c>
      <c r="R38" s="12">
        <f>计价规则!$B$7</f>
        <v>400</v>
      </c>
      <c r="S38" s="8" t="s">
        <v>26</v>
      </c>
      <c r="T38" s="13">
        <v>37</v>
      </c>
    </row>
    <row r="39" ht="26" customHeight="1" spans="1:20">
      <c r="A39" s="8">
        <f t="shared" si="0"/>
        <v>38</v>
      </c>
      <c r="B39" s="8" t="s">
        <v>143</v>
      </c>
      <c r="C39" s="9" t="s">
        <v>154</v>
      </c>
      <c r="D39" s="10" t="s">
        <v>155</v>
      </c>
      <c r="E39" s="11" t="s">
        <v>23</v>
      </c>
      <c r="F39" s="11"/>
      <c r="G39" s="10" t="s">
        <v>156</v>
      </c>
      <c r="H39" s="10" t="s">
        <v>157</v>
      </c>
      <c r="I39" s="10"/>
      <c r="J39" s="10"/>
      <c r="K39" s="10"/>
      <c r="L39" s="12">
        <f>计价规则!$B$2+计价规则!$B$3*MAX(0,IF(H39="",0,LEN(H39)-LEN(SUBSTITUTE(H39,"、",""))+1)-(IF(ISNUMBER(SEARCH("WiFi通信模块",H39)),1,0)+IF(ISNUMBER(SEARCH("ESP8266 WiFi模块",H39)),1,0)+IF(ISNUMBER(SEARCH("NRF24L01无线通信模块",H39)),1,0)+IF(ISNUMBER(SEARCH("蓝牙模块",H39)),1,0)+IF(ISNUMBER(SEARCH("语音识别模块",H39)),1,0)+IF(ISNUMBER(SEARCH("语音播报模块",H39)),1,0)+IF(ISNUMBER(SEARCH("RFID模块",H39)),1,0)+IF(ISNUMBER(SEARCH("RFID读卡模块",H39)),1,0)+IF(ISNUMBER(SEARCH("GPS定位模块",H39)),1,0)+IF(ISNUMBER(SEARCH("GSM通信模块",H39)),1,0)+IF(ISNUMBER(SEARCH("摄像头模块",H39)),1,0)+IF(ISNUMBER(SEARCH("人脸识别模块",H39)),1,0)+IF(ISNUMBER(SEARCH("手势识别传感器",H39)),1,0)))</f>
        <v>120</v>
      </c>
      <c r="M39" s="12">
        <f>计价规则!$B$4+计价规则!$B$5*IF(H39="",0,LEN(H39)-LEN(SUBSTITUTE(H39,"、",""))+1)</f>
        <v>130</v>
      </c>
      <c r="N39" s="12"/>
      <c r="O39" s="12">
        <f>计价规则!$B$6</f>
        <v>100</v>
      </c>
      <c r="P39" s="12">
        <f>计价规则!$B$6</f>
        <v>100</v>
      </c>
      <c r="Q39" s="12">
        <f>计价规则!$B$6</f>
        <v>100</v>
      </c>
      <c r="R39" s="12">
        <f>计价规则!$B$7</f>
        <v>400</v>
      </c>
      <c r="S39" s="8" t="s">
        <v>26</v>
      </c>
      <c r="T39" s="13">
        <v>38</v>
      </c>
    </row>
    <row r="40" ht="26" customHeight="1" spans="1:20">
      <c r="A40" s="8">
        <f t="shared" si="0"/>
        <v>39</v>
      </c>
      <c r="B40" s="8" t="s">
        <v>143</v>
      </c>
      <c r="C40" s="9" t="s">
        <v>158</v>
      </c>
      <c r="D40" s="10" t="s">
        <v>159</v>
      </c>
      <c r="E40" s="11" t="s">
        <v>23</v>
      </c>
      <c r="F40" s="11"/>
      <c r="G40" s="10" t="s">
        <v>156</v>
      </c>
      <c r="H40" s="10" t="s">
        <v>160</v>
      </c>
      <c r="I40" s="10"/>
      <c r="J40" s="10"/>
      <c r="K40" s="10"/>
      <c r="L40" s="12">
        <f>计价规则!$B$2+计价规则!$B$3*MAX(0,IF(H40="",0,LEN(H40)-LEN(SUBSTITUTE(H40,"、",""))+1)-(IF(ISNUMBER(SEARCH("WiFi通信模块",H40)),1,0)+IF(ISNUMBER(SEARCH("ESP8266 WiFi模块",H40)),1,0)+IF(ISNUMBER(SEARCH("NRF24L01无线通信模块",H40)),1,0)+IF(ISNUMBER(SEARCH("蓝牙模块",H40)),1,0)+IF(ISNUMBER(SEARCH("语音识别模块",H40)),1,0)+IF(ISNUMBER(SEARCH("语音播报模块",H40)),1,0)+IF(ISNUMBER(SEARCH("RFID模块",H40)),1,0)+IF(ISNUMBER(SEARCH("RFID读卡模块",H40)),1,0)+IF(ISNUMBER(SEARCH("GPS定位模块",H40)),1,0)+IF(ISNUMBER(SEARCH("GSM通信模块",H40)),1,0)+IF(ISNUMBER(SEARCH("摄像头模块",H40)),1,0)+IF(ISNUMBER(SEARCH("人脸识别模块",H40)),1,0)+IF(ISNUMBER(SEARCH("手势识别传感器",H40)),1,0)))</f>
        <v>120</v>
      </c>
      <c r="M40" s="12">
        <f>计价规则!$B$4+计价规则!$B$5*IF(H40="",0,LEN(H40)-LEN(SUBSTITUTE(H40,"、",""))+1)</f>
        <v>130</v>
      </c>
      <c r="N40" s="12"/>
      <c r="O40" s="12">
        <f>计价规则!$B$6</f>
        <v>100</v>
      </c>
      <c r="P40" s="12">
        <f>计价规则!$B$6</f>
        <v>100</v>
      </c>
      <c r="Q40" s="12">
        <f>计价规则!$B$6</f>
        <v>100</v>
      </c>
      <c r="R40" s="12">
        <f>计价规则!$B$7</f>
        <v>400</v>
      </c>
      <c r="S40" s="8" t="s">
        <v>26</v>
      </c>
      <c r="T40" s="13">
        <v>39</v>
      </c>
    </row>
    <row r="41" ht="26" customHeight="1" spans="1:20">
      <c r="A41" s="8">
        <f t="shared" si="0"/>
        <v>40</v>
      </c>
      <c r="B41" s="8" t="s">
        <v>143</v>
      </c>
      <c r="C41" s="9" t="s">
        <v>161</v>
      </c>
      <c r="D41" s="10" t="s">
        <v>162</v>
      </c>
      <c r="E41" s="11" t="s">
        <v>23</v>
      </c>
      <c r="F41" s="11"/>
      <c r="G41" s="10" t="s">
        <v>156</v>
      </c>
      <c r="H41" s="10" t="s">
        <v>163</v>
      </c>
      <c r="I41" s="10"/>
      <c r="J41" s="10"/>
      <c r="K41" s="10"/>
      <c r="L41" s="12">
        <f>计价规则!$B$2+计价规则!$B$3*MAX(0,IF(H41="",0,LEN(H41)-LEN(SUBSTITUTE(H41,"、",""))+1)-(IF(ISNUMBER(SEARCH("WiFi通信模块",H41)),1,0)+IF(ISNUMBER(SEARCH("ESP8266 WiFi模块",H41)),1,0)+IF(ISNUMBER(SEARCH("NRF24L01无线通信模块",H41)),1,0)+IF(ISNUMBER(SEARCH("蓝牙模块",H41)),1,0)+IF(ISNUMBER(SEARCH("语音识别模块",H41)),1,0)+IF(ISNUMBER(SEARCH("语音播报模块",H41)),1,0)+IF(ISNUMBER(SEARCH("RFID模块",H41)),1,0)+IF(ISNUMBER(SEARCH("RFID读卡模块",H41)),1,0)+IF(ISNUMBER(SEARCH("GPS定位模块",H41)),1,0)+IF(ISNUMBER(SEARCH("GSM通信模块",H41)),1,0)+IF(ISNUMBER(SEARCH("摄像头模块",H41)),1,0)+IF(ISNUMBER(SEARCH("人脸识别模块",H41)),1,0)+IF(ISNUMBER(SEARCH("手势识别传感器",H41)),1,0)))</f>
        <v>90</v>
      </c>
      <c r="M41" s="12">
        <f>计价规则!$B$4+计价规则!$B$5*IF(H41="",0,LEN(H41)-LEN(SUBSTITUTE(H41,"、",""))+1)</f>
        <v>90</v>
      </c>
      <c r="N41" s="12"/>
      <c r="O41" s="12">
        <f>计价规则!$B$6</f>
        <v>100</v>
      </c>
      <c r="P41" s="12">
        <f>计价规则!$B$6</f>
        <v>100</v>
      </c>
      <c r="Q41" s="12">
        <f>计价规则!$B$6</f>
        <v>100</v>
      </c>
      <c r="R41" s="12">
        <f>计价规则!$B$7</f>
        <v>400</v>
      </c>
      <c r="S41" s="8" t="s">
        <v>26</v>
      </c>
      <c r="T41" s="13">
        <v>40</v>
      </c>
    </row>
    <row r="42" ht="26" customHeight="1" spans="1:20">
      <c r="A42" s="8">
        <f t="shared" si="0"/>
        <v>41</v>
      </c>
      <c r="B42" s="8" t="s">
        <v>143</v>
      </c>
      <c r="C42" s="9" t="s">
        <v>164</v>
      </c>
      <c r="D42" s="10" t="s">
        <v>165</v>
      </c>
      <c r="E42" s="11" t="s">
        <v>23</v>
      </c>
      <c r="F42" s="11"/>
      <c r="G42" s="10" t="s">
        <v>131</v>
      </c>
      <c r="H42" s="10" t="s">
        <v>166</v>
      </c>
      <c r="I42" s="10"/>
      <c r="J42" s="10"/>
      <c r="K42" s="10"/>
      <c r="L42" s="12">
        <f>计价规则!$B$2+计价规则!$B$3*MAX(0,IF(H42="",0,LEN(H42)-LEN(SUBSTITUTE(H42,"、",""))+1)-(IF(ISNUMBER(SEARCH("WiFi通信模块",H42)),1,0)+IF(ISNUMBER(SEARCH("ESP8266 WiFi模块",H42)),1,0)+IF(ISNUMBER(SEARCH("NRF24L01无线通信模块",H42)),1,0)+IF(ISNUMBER(SEARCH("蓝牙模块",H42)),1,0)+IF(ISNUMBER(SEARCH("语音识别模块",H42)),1,0)+IF(ISNUMBER(SEARCH("语音播报模块",H42)),1,0)+IF(ISNUMBER(SEARCH("RFID模块",H42)),1,0)+IF(ISNUMBER(SEARCH("RFID读卡模块",H42)),1,0)+IF(ISNUMBER(SEARCH("GPS定位模块",H42)),1,0)+IF(ISNUMBER(SEARCH("GSM通信模块",H42)),1,0)+IF(ISNUMBER(SEARCH("摄像头模块",H42)),1,0)+IF(ISNUMBER(SEARCH("人脸识别模块",H42)),1,0)+IF(ISNUMBER(SEARCH("手势识别传感器",H42)),1,0)))</f>
        <v>90</v>
      </c>
      <c r="M42" s="12">
        <f>计价规则!$B$4+计价规则!$B$5*IF(H42="",0,LEN(H42)-LEN(SUBSTITUTE(H42,"、",""))+1)</f>
        <v>90</v>
      </c>
      <c r="N42" s="12"/>
      <c r="O42" s="12">
        <f>计价规则!$B$6</f>
        <v>100</v>
      </c>
      <c r="P42" s="12">
        <f>计价规则!$B$6</f>
        <v>100</v>
      </c>
      <c r="Q42" s="12">
        <f>计价规则!$B$6</f>
        <v>100</v>
      </c>
      <c r="R42" s="12">
        <f>计价规则!$B$7</f>
        <v>400</v>
      </c>
      <c r="S42" s="8" t="s">
        <v>167</v>
      </c>
      <c r="T42" s="13">
        <v>41</v>
      </c>
    </row>
    <row r="43" ht="26" customHeight="1" spans="1:20">
      <c r="A43" s="8">
        <f t="shared" si="0"/>
        <v>42</v>
      </c>
      <c r="B43" s="8" t="s">
        <v>143</v>
      </c>
      <c r="C43" s="9" t="s">
        <v>168</v>
      </c>
      <c r="D43" s="10" t="s">
        <v>169</v>
      </c>
      <c r="E43" s="11" t="s">
        <v>23</v>
      </c>
      <c r="F43" s="11"/>
      <c r="G43" s="10" t="s">
        <v>54</v>
      </c>
      <c r="H43" s="10" t="s">
        <v>170</v>
      </c>
      <c r="I43" s="10"/>
      <c r="J43" s="10"/>
      <c r="K43" s="10"/>
      <c r="L43" s="12">
        <f>计价规则!$B$2+计价规则!$B$3*MAX(0,IF(H43="",0,LEN(H43)-LEN(SUBSTITUTE(H43,"、",""))+1)-(IF(ISNUMBER(SEARCH("WiFi通信模块",H43)),1,0)+IF(ISNUMBER(SEARCH("ESP8266 WiFi模块",H43)),1,0)+IF(ISNUMBER(SEARCH("NRF24L01无线通信模块",H43)),1,0)+IF(ISNUMBER(SEARCH("蓝牙模块",H43)),1,0)+IF(ISNUMBER(SEARCH("语音识别模块",H43)),1,0)+IF(ISNUMBER(SEARCH("语音播报模块",H43)),1,0)+IF(ISNUMBER(SEARCH("RFID模块",H43)),1,0)+IF(ISNUMBER(SEARCH("RFID读卡模块",H43)),1,0)+IF(ISNUMBER(SEARCH("GPS定位模块",H43)),1,0)+IF(ISNUMBER(SEARCH("GSM通信模块",H43)),1,0)+IF(ISNUMBER(SEARCH("摄像头模块",H43)),1,0)+IF(ISNUMBER(SEARCH("人脸识别模块",H43)),1,0)+IF(ISNUMBER(SEARCH("手势识别传感器",H43)),1,0)))</f>
        <v>105</v>
      </c>
      <c r="M43" s="12">
        <f>计价规则!$B$4+计价规则!$B$5*IF(H43="",0,LEN(H43)-LEN(SUBSTITUTE(H43,"、",""))+1)</f>
        <v>110</v>
      </c>
      <c r="N43" s="12"/>
      <c r="O43" s="12">
        <f>计价规则!$B$6</f>
        <v>100</v>
      </c>
      <c r="P43" s="12">
        <f>计价规则!$B$6</f>
        <v>100</v>
      </c>
      <c r="Q43" s="12">
        <f>计价规则!$B$6</f>
        <v>100</v>
      </c>
      <c r="R43" s="12">
        <f>计价规则!$B$7</f>
        <v>400</v>
      </c>
      <c r="S43" s="8" t="s">
        <v>26</v>
      </c>
      <c r="T43" s="13">
        <v>42</v>
      </c>
    </row>
    <row r="44" ht="26" customHeight="1" spans="1:20">
      <c r="A44" s="8">
        <f t="shared" si="0"/>
        <v>43</v>
      </c>
      <c r="B44" s="8" t="s">
        <v>143</v>
      </c>
      <c r="C44" s="9" t="s">
        <v>171</v>
      </c>
      <c r="D44" s="10" t="s">
        <v>172</v>
      </c>
      <c r="E44" s="11" t="s">
        <v>23</v>
      </c>
      <c r="F44" s="11"/>
      <c r="G44" s="10" t="s">
        <v>81</v>
      </c>
      <c r="H44" s="10" t="s">
        <v>173</v>
      </c>
      <c r="I44" s="10"/>
      <c r="J44" s="10"/>
      <c r="K44" s="10"/>
      <c r="L44" s="12">
        <f>计价规则!$B$2+计价规则!$B$3*MAX(0,IF(H44="",0,LEN(H44)-LEN(SUBSTITUTE(H44,"、",""))+1)-(IF(ISNUMBER(SEARCH("WiFi通信模块",H44)),1,0)+IF(ISNUMBER(SEARCH("ESP8266 WiFi模块",H44)),1,0)+IF(ISNUMBER(SEARCH("NRF24L01无线通信模块",H44)),1,0)+IF(ISNUMBER(SEARCH("蓝牙模块",H44)),1,0)+IF(ISNUMBER(SEARCH("语音识别模块",H44)),1,0)+IF(ISNUMBER(SEARCH("语音播报模块",H44)),1,0)+IF(ISNUMBER(SEARCH("RFID模块",H44)),1,0)+IF(ISNUMBER(SEARCH("RFID读卡模块",H44)),1,0)+IF(ISNUMBER(SEARCH("GPS定位模块",H44)),1,0)+IF(ISNUMBER(SEARCH("GSM通信模块",H44)),1,0)+IF(ISNUMBER(SEARCH("摄像头模块",H44)),1,0)+IF(ISNUMBER(SEARCH("人脸识别模块",H44)),1,0)+IF(ISNUMBER(SEARCH("手势识别传感器",H44)),1,0)))</f>
        <v>105</v>
      </c>
      <c r="M44" s="12">
        <f>计价规则!$B$4+计价规则!$B$5*IF(H44="",0,LEN(H44)-LEN(SUBSTITUTE(H44,"、",""))+1)</f>
        <v>110</v>
      </c>
      <c r="N44" s="12"/>
      <c r="O44" s="12">
        <f>计价规则!$B$6</f>
        <v>100</v>
      </c>
      <c r="P44" s="12">
        <f>计价规则!$B$6</f>
        <v>100</v>
      </c>
      <c r="Q44" s="12">
        <f>计价规则!$B$6</f>
        <v>100</v>
      </c>
      <c r="R44" s="12">
        <f>计价规则!$B$7</f>
        <v>400</v>
      </c>
      <c r="S44" s="8" t="s">
        <v>26</v>
      </c>
      <c r="T44" s="13">
        <v>43</v>
      </c>
    </row>
    <row r="45" ht="26" customHeight="1" spans="1:20">
      <c r="A45" s="8">
        <f t="shared" si="0"/>
        <v>44</v>
      </c>
      <c r="B45" s="8" t="s">
        <v>143</v>
      </c>
      <c r="C45" s="9" t="s">
        <v>174</v>
      </c>
      <c r="D45" s="10" t="s">
        <v>175</v>
      </c>
      <c r="E45" s="11" t="s">
        <v>23</v>
      </c>
      <c r="F45" s="11"/>
      <c r="G45" s="10" t="s">
        <v>24</v>
      </c>
      <c r="H45" s="10" t="s">
        <v>176</v>
      </c>
      <c r="I45" s="10"/>
      <c r="J45" s="10"/>
      <c r="K45" s="10"/>
      <c r="L45" s="12">
        <f>计价规则!$B$2+计价规则!$B$3*MAX(0,IF(H45="",0,LEN(H45)-LEN(SUBSTITUTE(H45,"、",""))+1)-(IF(ISNUMBER(SEARCH("WiFi通信模块",H45)),1,0)+IF(ISNUMBER(SEARCH("ESP8266 WiFi模块",H45)),1,0)+IF(ISNUMBER(SEARCH("NRF24L01无线通信模块",H45)),1,0)+IF(ISNUMBER(SEARCH("蓝牙模块",H45)),1,0)+IF(ISNUMBER(SEARCH("语音识别模块",H45)),1,0)+IF(ISNUMBER(SEARCH("语音播报模块",H45)),1,0)+IF(ISNUMBER(SEARCH("RFID模块",H45)),1,0)+IF(ISNUMBER(SEARCH("RFID读卡模块",H45)),1,0)+IF(ISNUMBER(SEARCH("GPS定位模块",H45)),1,0)+IF(ISNUMBER(SEARCH("GSM通信模块",H45)),1,0)+IF(ISNUMBER(SEARCH("摄像头模块",H45)),1,0)+IF(ISNUMBER(SEARCH("人脸识别模块",H45)),1,0)+IF(ISNUMBER(SEARCH("手势识别传感器",H45)),1,0)))</f>
        <v>90</v>
      </c>
      <c r="M45" s="12">
        <f>计价规则!$B$4+计价规则!$B$5*IF(H45="",0,LEN(H45)-LEN(SUBSTITUTE(H45,"、",""))+1)</f>
        <v>90</v>
      </c>
      <c r="N45" s="12"/>
      <c r="O45" s="12">
        <f>计价规则!$B$6</f>
        <v>100</v>
      </c>
      <c r="P45" s="12">
        <f>计价规则!$B$6</f>
        <v>100</v>
      </c>
      <c r="Q45" s="12">
        <f>计价规则!$B$6</f>
        <v>100</v>
      </c>
      <c r="R45" s="12">
        <f>计价规则!$B$7</f>
        <v>400</v>
      </c>
      <c r="S45" s="8" t="s">
        <v>26</v>
      </c>
      <c r="T45" s="13">
        <v>44</v>
      </c>
    </row>
    <row r="46" ht="26" customHeight="1" spans="1:20">
      <c r="A46" s="8">
        <f t="shared" si="0"/>
        <v>45</v>
      </c>
      <c r="B46" s="8" t="s">
        <v>143</v>
      </c>
      <c r="C46" s="9" t="s">
        <v>177</v>
      </c>
      <c r="D46" s="10" t="s">
        <v>178</v>
      </c>
      <c r="E46" s="11" t="s">
        <v>23</v>
      </c>
      <c r="F46" s="11"/>
      <c r="G46" s="10" t="s">
        <v>24</v>
      </c>
      <c r="H46" s="10" t="s">
        <v>179</v>
      </c>
      <c r="I46" s="10"/>
      <c r="J46" s="10"/>
      <c r="K46" s="10"/>
      <c r="L46" s="12">
        <f>计价规则!$B$2+计价规则!$B$3*MAX(0,IF(H46="",0,LEN(H46)-LEN(SUBSTITUTE(H46,"、",""))+1)-(IF(ISNUMBER(SEARCH("WiFi通信模块",H46)),1,0)+IF(ISNUMBER(SEARCH("ESP8266 WiFi模块",H46)),1,0)+IF(ISNUMBER(SEARCH("NRF24L01无线通信模块",H46)),1,0)+IF(ISNUMBER(SEARCH("蓝牙模块",H46)),1,0)+IF(ISNUMBER(SEARCH("语音识别模块",H46)),1,0)+IF(ISNUMBER(SEARCH("语音播报模块",H46)),1,0)+IF(ISNUMBER(SEARCH("RFID模块",H46)),1,0)+IF(ISNUMBER(SEARCH("RFID读卡模块",H46)),1,0)+IF(ISNUMBER(SEARCH("GPS定位模块",H46)),1,0)+IF(ISNUMBER(SEARCH("GSM通信模块",H46)),1,0)+IF(ISNUMBER(SEARCH("摄像头模块",H46)),1,0)+IF(ISNUMBER(SEARCH("人脸识别模块",H46)),1,0)+IF(ISNUMBER(SEARCH("手势识别传感器",H46)),1,0)))</f>
        <v>90</v>
      </c>
      <c r="M46" s="12">
        <f>计价规则!$B$4+计价规则!$B$5*IF(H46="",0,LEN(H46)-LEN(SUBSTITUTE(H46,"、",""))+1)</f>
        <v>90</v>
      </c>
      <c r="N46" s="12"/>
      <c r="O46" s="12">
        <f>计价规则!$B$6</f>
        <v>100</v>
      </c>
      <c r="P46" s="12">
        <f>计价规则!$B$6</f>
        <v>100</v>
      </c>
      <c r="Q46" s="12">
        <f>计价规则!$B$6</f>
        <v>100</v>
      </c>
      <c r="R46" s="12">
        <f>计价规则!$B$7</f>
        <v>400</v>
      </c>
      <c r="S46" s="8" t="s">
        <v>167</v>
      </c>
      <c r="T46" s="13">
        <v>45</v>
      </c>
    </row>
    <row r="47" ht="26" customHeight="1" spans="1:20">
      <c r="A47" s="8">
        <f t="shared" si="0"/>
        <v>46</v>
      </c>
      <c r="B47" s="8" t="s">
        <v>143</v>
      </c>
      <c r="C47" s="9" t="s">
        <v>180</v>
      </c>
      <c r="D47" s="10" t="s">
        <v>181</v>
      </c>
      <c r="E47" s="11" t="s">
        <v>23</v>
      </c>
      <c r="F47" s="11"/>
      <c r="G47" s="10" t="s">
        <v>24</v>
      </c>
      <c r="H47" s="10" t="s">
        <v>182</v>
      </c>
      <c r="I47" s="10"/>
      <c r="J47" s="10"/>
      <c r="K47" s="10"/>
      <c r="L47" s="12">
        <f>计价规则!$B$2+计价规则!$B$3*MAX(0,IF(H47="",0,LEN(H47)-LEN(SUBSTITUTE(H47,"、",""))+1)-(IF(ISNUMBER(SEARCH("WiFi通信模块",H47)),1,0)+IF(ISNUMBER(SEARCH("ESP8266 WiFi模块",H47)),1,0)+IF(ISNUMBER(SEARCH("NRF24L01无线通信模块",H47)),1,0)+IF(ISNUMBER(SEARCH("蓝牙模块",H47)),1,0)+IF(ISNUMBER(SEARCH("语音识别模块",H47)),1,0)+IF(ISNUMBER(SEARCH("语音播报模块",H47)),1,0)+IF(ISNUMBER(SEARCH("RFID模块",H47)),1,0)+IF(ISNUMBER(SEARCH("RFID读卡模块",H47)),1,0)+IF(ISNUMBER(SEARCH("GPS定位模块",H47)),1,0)+IF(ISNUMBER(SEARCH("GSM通信模块",H47)),1,0)+IF(ISNUMBER(SEARCH("摄像头模块",H47)),1,0)+IF(ISNUMBER(SEARCH("人脸识别模块",H47)),1,0)+IF(ISNUMBER(SEARCH("手势识别传感器",H47)),1,0)))</f>
        <v>90</v>
      </c>
      <c r="M47" s="12">
        <f>计价规则!$B$4+计价规则!$B$5*IF(H47="",0,LEN(H47)-LEN(SUBSTITUTE(H47,"、",""))+1)</f>
        <v>90</v>
      </c>
      <c r="N47" s="12"/>
      <c r="O47" s="12">
        <f>计价规则!$B$6</f>
        <v>100</v>
      </c>
      <c r="P47" s="12">
        <f>计价规则!$B$6</f>
        <v>100</v>
      </c>
      <c r="Q47" s="12">
        <f>计价规则!$B$6</f>
        <v>100</v>
      </c>
      <c r="R47" s="12">
        <f>计价规则!$B$7</f>
        <v>400</v>
      </c>
      <c r="S47" s="8" t="s">
        <v>26</v>
      </c>
      <c r="T47" s="13">
        <v>46</v>
      </c>
    </row>
    <row r="48" ht="26" customHeight="1" spans="1:20">
      <c r="A48" s="8">
        <f t="shared" si="0"/>
        <v>47</v>
      </c>
      <c r="B48" s="8" t="s">
        <v>143</v>
      </c>
      <c r="C48" s="9" t="s">
        <v>183</v>
      </c>
      <c r="D48" s="10" t="s">
        <v>184</v>
      </c>
      <c r="E48" s="11" t="s">
        <v>23</v>
      </c>
      <c r="F48" s="11"/>
      <c r="G48" s="10" t="s">
        <v>185</v>
      </c>
      <c r="H48" s="10" t="s">
        <v>186</v>
      </c>
      <c r="I48" s="10"/>
      <c r="J48" s="10"/>
      <c r="K48" s="10"/>
      <c r="L48" s="12">
        <f>计价规则!$B$2+计价规则!$B$3*MAX(0,IF(H48="",0,LEN(H48)-LEN(SUBSTITUTE(H48,"、",""))+1)-(IF(ISNUMBER(SEARCH("WiFi通信模块",H48)),1,0)+IF(ISNUMBER(SEARCH("ESP8266 WiFi模块",H48)),1,0)+IF(ISNUMBER(SEARCH("NRF24L01无线通信模块",H48)),1,0)+IF(ISNUMBER(SEARCH("蓝牙模块",H48)),1,0)+IF(ISNUMBER(SEARCH("语音识别模块",H48)),1,0)+IF(ISNUMBER(SEARCH("语音播报模块",H48)),1,0)+IF(ISNUMBER(SEARCH("RFID模块",H48)),1,0)+IF(ISNUMBER(SEARCH("RFID读卡模块",H48)),1,0)+IF(ISNUMBER(SEARCH("GPS定位模块",H48)),1,0)+IF(ISNUMBER(SEARCH("GSM通信模块",H48)),1,0)+IF(ISNUMBER(SEARCH("摄像头模块",H48)),1,0)+IF(ISNUMBER(SEARCH("人脸识别模块",H48)),1,0)+IF(ISNUMBER(SEARCH("手势识别传感器",H48)),1,0)))</f>
        <v>75</v>
      </c>
      <c r="M48" s="12">
        <f>计价规则!$B$4+计价规则!$B$5*IF(H48="",0,LEN(H48)-LEN(SUBSTITUTE(H48,"、",""))+1)</f>
        <v>70</v>
      </c>
      <c r="N48" s="12"/>
      <c r="O48" s="12">
        <f>计价规则!$B$6</f>
        <v>100</v>
      </c>
      <c r="P48" s="12">
        <f>计价规则!$B$6</f>
        <v>100</v>
      </c>
      <c r="Q48" s="12">
        <f>计价规则!$B$6</f>
        <v>100</v>
      </c>
      <c r="R48" s="12">
        <f>计价规则!$B$7</f>
        <v>400</v>
      </c>
      <c r="S48" s="8" t="s">
        <v>26</v>
      </c>
      <c r="T48" s="13">
        <v>47</v>
      </c>
    </row>
    <row r="49" ht="26" customHeight="1" spans="1:20">
      <c r="A49" s="8">
        <f t="shared" si="0"/>
        <v>48</v>
      </c>
      <c r="B49" s="8" t="s">
        <v>143</v>
      </c>
      <c r="C49" s="9" t="s">
        <v>187</v>
      </c>
      <c r="D49" s="10" t="s">
        <v>188</v>
      </c>
      <c r="E49" s="11" t="s">
        <v>23</v>
      </c>
      <c r="F49" s="11"/>
      <c r="G49" s="10" t="s">
        <v>58</v>
      </c>
      <c r="H49" s="10" t="s">
        <v>189</v>
      </c>
      <c r="I49" s="10"/>
      <c r="J49" s="10"/>
      <c r="K49" s="10"/>
      <c r="L49" s="12">
        <f>计价规则!$B$2+计价规则!$B$3*MAX(0,IF(H49="",0,LEN(H49)-LEN(SUBSTITUTE(H49,"、",""))+1)-(IF(ISNUMBER(SEARCH("WiFi通信模块",H49)),1,0)+IF(ISNUMBER(SEARCH("ESP8266 WiFi模块",H49)),1,0)+IF(ISNUMBER(SEARCH("NRF24L01无线通信模块",H49)),1,0)+IF(ISNUMBER(SEARCH("蓝牙模块",H49)),1,0)+IF(ISNUMBER(SEARCH("语音识别模块",H49)),1,0)+IF(ISNUMBER(SEARCH("语音播报模块",H49)),1,0)+IF(ISNUMBER(SEARCH("RFID模块",H49)),1,0)+IF(ISNUMBER(SEARCH("RFID读卡模块",H49)),1,0)+IF(ISNUMBER(SEARCH("GPS定位模块",H49)),1,0)+IF(ISNUMBER(SEARCH("GSM通信模块",H49)),1,0)+IF(ISNUMBER(SEARCH("摄像头模块",H49)),1,0)+IF(ISNUMBER(SEARCH("人脸识别模块",H49)),1,0)+IF(ISNUMBER(SEARCH("手势识别传感器",H49)),1,0)))</f>
        <v>105</v>
      </c>
      <c r="M49" s="12">
        <f>计价规则!$B$4+计价规则!$B$5*IF(H49="",0,LEN(H49)-LEN(SUBSTITUTE(H49,"、",""))+1)</f>
        <v>110</v>
      </c>
      <c r="N49" s="12"/>
      <c r="O49" s="12">
        <f>计价规则!$B$6</f>
        <v>100</v>
      </c>
      <c r="P49" s="12">
        <f>计价规则!$B$6</f>
        <v>100</v>
      </c>
      <c r="Q49" s="12">
        <f>计价规则!$B$6</f>
        <v>100</v>
      </c>
      <c r="R49" s="12">
        <f>计价规则!$B$7</f>
        <v>400</v>
      </c>
      <c r="S49" s="8" t="s">
        <v>26</v>
      </c>
      <c r="T49" s="13">
        <v>48</v>
      </c>
    </row>
    <row r="50" ht="26" customHeight="1" spans="1:20">
      <c r="A50" s="8">
        <f t="shared" si="0"/>
        <v>49</v>
      </c>
      <c r="B50" s="8" t="s">
        <v>143</v>
      </c>
      <c r="C50" s="9" t="s">
        <v>190</v>
      </c>
      <c r="D50" s="10" t="s">
        <v>191</v>
      </c>
      <c r="E50" s="11" t="s">
        <v>23</v>
      </c>
      <c r="F50" s="11"/>
      <c r="G50" s="10" t="s">
        <v>58</v>
      </c>
      <c r="H50" s="10" t="s">
        <v>192</v>
      </c>
      <c r="I50" s="10"/>
      <c r="J50" s="10"/>
      <c r="K50" s="10"/>
      <c r="L50" s="12">
        <f>计价规则!$B$2+计价规则!$B$3*MAX(0,IF(H50="",0,LEN(H50)-LEN(SUBSTITUTE(H50,"、",""))+1)-(IF(ISNUMBER(SEARCH("WiFi通信模块",H50)),1,0)+IF(ISNUMBER(SEARCH("ESP8266 WiFi模块",H50)),1,0)+IF(ISNUMBER(SEARCH("NRF24L01无线通信模块",H50)),1,0)+IF(ISNUMBER(SEARCH("蓝牙模块",H50)),1,0)+IF(ISNUMBER(SEARCH("语音识别模块",H50)),1,0)+IF(ISNUMBER(SEARCH("语音播报模块",H50)),1,0)+IF(ISNUMBER(SEARCH("RFID模块",H50)),1,0)+IF(ISNUMBER(SEARCH("RFID读卡模块",H50)),1,0)+IF(ISNUMBER(SEARCH("GPS定位模块",H50)),1,0)+IF(ISNUMBER(SEARCH("GSM通信模块",H50)),1,0)+IF(ISNUMBER(SEARCH("摄像头模块",H50)),1,0)+IF(ISNUMBER(SEARCH("人脸识别模块",H50)),1,0)+IF(ISNUMBER(SEARCH("手势识别传感器",H50)),1,0)))</f>
        <v>90</v>
      </c>
      <c r="M50" s="12">
        <f>计价规则!$B$4+计价规则!$B$5*IF(H50="",0,LEN(H50)-LEN(SUBSTITUTE(H50,"、",""))+1)</f>
        <v>90</v>
      </c>
      <c r="N50" s="12"/>
      <c r="O50" s="12">
        <f>计价规则!$B$6</f>
        <v>100</v>
      </c>
      <c r="P50" s="12">
        <f>计价规则!$B$6</f>
        <v>100</v>
      </c>
      <c r="Q50" s="12">
        <f>计价规则!$B$6</f>
        <v>100</v>
      </c>
      <c r="R50" s="12">
        <f>计价规则!$B$7</f>
        <v>400</v>
      </c>
      <c r="S50" s="8" t="s">
        <v>26</v>
      </c>
      <c r="T50" s="13">
        <v>49</v>
      </c>
    </row>
    <row r="51" ht="26" customHeight="1" spans="1:20">
      <c r="A51" s="8">
        <f t="shared" si="0"/>
        <v>50</v>
      </c>
      <c r="B51" s="8" t="s">
        <v>143</v>
      </c>
      <c r="C51" s="9" t="s">
        <v>193</v>
      </c>
      <c r="D51" s="10" t="s">
        <v>194</v>
      </c>
      <c r="E51" s="11" t="s">
        <v>23</v>
      </c>
      <c r="F51" s="11"/>
      <c r="G51" s="10" t="s">
        <v>185</v>
      </c>
      <c r="H51" s="10" t="s">
        <v>195</v>
      </c>
      <c r="I51" s="10"/>
      <c r="J51" s="10"/>
      <c r="K51" s="10"/>
      <c r="L51" s="12">
        <f>计价规则!$B$2+计价规则!$B$3*MAX(0,IF(H51="",0,LEN(H51)-LEN(SUBSTITUTE(H51,"、",""))+1)-(IF(ISNUMBER(SEARCH("WiFi通信模块",H51)),1,0)+IF(ISNUMBER(SEARCH("ESP8266 WiFi模块",H51)),1,0)+IF(ISNUMBER(SEARCH("NRF24L01无线通信模块",H51)),1,0)+IF(ISNUMBER(SEARCH("蓝牙模块",H51)),1,0)+IF(ISNUMBER(SEARCH("语音识别模块",H51)),1,0)+IF(ISNUMBER(SEARCH("语音播报模块",H51)),1,0)+IF(ISNUMBER(SEARCH("RFID模块",H51)),1,0)+IF(ISNUMBER(SEARCH("RFID读卡模块",H51)),1,0)+IF(ISNUMBER(SEARCH("GPS定位模块",H51)),1,0)+IF(ISNUMBER(SEARCH("GSM通信模块",H51)),1,0)+IF(ISNUMBER(SEARCH("摄像头模块",H51)),1,0)+IF(ISNUMBER(SEARCH("人脸识别模块",H51)),1,0)+IF(ISNUMBER(SEARCH("手势识别传感器",H51)),1,0)))</f>
        <v>90</v>
      </c>
      <c r="M51" s="12">
        <f>计价规则!$B$4+计价规则!$B$5*IF(H51="",0,LEN(H51)-LEN(SUBSTITUTE(H51,"、",""))+1)</f>
        <v>90</v>
      </c>
      <c r="N51" s="12"/>
      <c r="O51" s="12">
        <f>计价规则!$B$6</f>
        <v>100</v>
      </c>
      <c r="P51" s="12">
        <f>计价规则!$B$6</f>
        <v>100</v>
      </c>
      <c r="Q51" s="12">
        <f>计价规则!$B$6</f>
        <v>100</v>
      </c>
      <c r="R51" s="12">
        <f>计价规则!$B$7</f>
        <v>400</v>
      </c>
      <c r="S51" s="8" t="s">
        <v>26</v>
      </c>
      <c r="T51" s="13">
        <v>50</v>
      </c>
    </row>
    <row r="52" ht="26" customHeight="1" spans="1:20">
      <c r="A52" s="8">
        <f t="shared" si="0"/>
        <v>51</v>
      </c>
      <c r="B52" s="8" t="s">
        <v>143</v>
      </c>
      <c r="C52" s="9" t="s">
        <v>196</v>
      </c>
      <c r="D52" s="10" t="s">
        <v>197</v>
      </c>
      <c r="E52" s="11" t="s">
        <v>23</v>
      </c>
      <c r="F52" s="11"/>
      <c r="G52" s="10" t="s">
        <v>24</v>
      </c>
      <c r="H52" s="10" t="s">
        <v>198</v>
      </c>
      <c r="I52" s="10"/>
      <c r="J52" s="10"/>
      <c r="K52" s="10"/>
      <c r="L52" s="12">
        <f>计价规则!$B$2+计价规则!$B$3*MAX(0,IF(H52="",0,LEN(H52)-LEN(SUBSTITUTE(H52,"、",""))+1)-(IF(ISNUMBER(SEARCH("WiFi通信模块",H52)),1,0)+IF(ISNUMBER(SEARCH("ESP8266 WiFi模块",H52)),1,0)+IF(ISNUMBER(SEARCH("NRF24L01无线通信模块",H52)),1,0)+IF(ISNUMBER(SEARCH("蓝牙模块",H52)),1,0)+IF(ISNUMBER(SEARCH("语音识别模块",H52)),1,0)+IF(ISNUMBER(SEARCH("语音播报模块",H52)),1,0)+IF(ISNUMBER(SEARCH("RFID模块",H52)),1,0)+IF(ISNUMBER(SEARCH("RFID读卡模块",H52)),1,0)+IF(ISNUMBER(SEARCH("GPS定位模块",H52)),1,0)+IF(ISNUMBER(SEARCH("GSM通信模块",H52)),1,0)+IF(ISNUMBER(SEARCH("摄像头模块",H52)),1,0)+IF(ISNUMBER(SEARCH("人脸识别模块",H52)),1,0)+IF(ISNUMBER(SEARCH("手势识别传感器",H52)),1,0)))</f>
        <v>90</v>
      </c>
      <c r="M52" s="12">
        <f>计价规则!$B$4+计价规则!$B$5*IF(H52="",0,LEN(H52)-LEN(SUBSTITUTE(H52,"、",""))+1)</f>
        <v>90</v>
      </c>
      <c r="N52" s="12"/>
      <c r="O52" s="12">
        <f>计价规则!$B$6</f>
        <v>100</v>
      </c>
      <c r="P52" s="12">
        <f>计价规则!$B$6</f>
        <v>100</v>
      </c>
      <c r="Q52" s="12">
        <f>计价规则!$B$6</f>
        <v>100</v>
      </c>
      <c r="R52" s="12">
        <f>计价规则!$B$7</f>
        <v>400</v>
      </c>
      <c r="S52" s="8" t="s">
        <v>26</v>
      </c>
      <c r="T52" s="13">
        <v>51</v>
      </c>
    </row>
    <row r="53" ht="26" customHeight="1" spans="1:20">
      <c r="A53" s="8">
        <f t="shared" si="0"/>
        <v>52</v>
      </c>
      <c r="B53" s="8" t="s">
        <v>143</v>
      </c>
      <c r="C53" s="9" t="s">
        <v>199</v>
      </c>
      <c r="D53" s="10" t="s">
        <v>200</v>
      </c>
      <c r="E53" s="11" t="s">
        <v>23</v>
      </c>
      <c r="F53" s="11"/>
      <c r="G53" s="10" t="s">
        <v>24</v>
      </c>
      <c r="H53" s="10" t="s">
        <v>66</v>
      </c>
      <c r="I53" s="10"/>
      <c r="J53" s="10"/>
      <c r="K53" s="10"/>
      <c r="L53" s="12">
        <f>计价规则!$B$2+计价规则!$B$3*MAX(0,IF(H53="",0,LEN(H53)-LEN(SUBSTITUTE(H53,"、",""))+1)-(IF(ISNUMBER(SEARCH("WiFi通信模块",H53)),1,0)+IF(ISNUMBER(SEARCH("ESP8266 WiFi模块",H53)),1,0)+IF(ISNUMBER(SEARCH("NRF24L01无线通信模块",H53)),1,0)+IF(ISNUMBER(SEARCH("蓝牙模块",H53)),1,0)+IF(ISNUMBER(SEARCH("语音识别模块",H53)),1,0)+IF(ISNUMBER(SEARCH("语音播报模块",H53)),1,0)+IF(ISNUMBER(SEARCH("RFID模块",H53)),1,0)+IF(ISNUMBER(SEARCH("RFID读卡模块",H53)),1,0)+IF(ISNUMBER(SEARCH("GPS定位模块",H53)),1,0)+IF(ISNUMBER(SEARCH("GSM通信模块",H53)),1,0)+IF(ISNUMBER(SEARCH("摄像头模块",H53)),1,0)+IF(ISNUMBER(SEARCH("人脸识别模块",H53)),1,0)+IF(ISNUMBER(SEARCH("手势识别传感器",H53)),1,0)))</f>
        <v>90</v>
      </c>
      <c r="M53" s="12">
        <f>计价规则!$B$4+计价规则!$B$5*IF(H53="",0,LEN(H53)-LEN(SUBSTITUTE(H53,"、",""))+1)</f>
        <v>90</v>
      </c>
      <c r="N53" s="12"/>
      <c r="O53" s="12">
        <f>计价规则!$B$6</f>
        <v>100</v>
      </c>
      <c r="P53" s="12">
        <f>计价规则!$B$6</f>
        <v>100</v>
      </c>
      <c r="Q53" s="12">
        <f>计价规则!$B$6</f>
        <v>100</v>
      </c>
      <c r="R53" s="12">
        <f>计价规则!$B$7</f>
        <v>400</v>
      </c>
      <c r="S53" s="8" t="s">
        <v>26</v>
      </c>
      <c r="T53" s="13">
        <v>52</v>
      </c>
    </row>
    <row r="54" ht="26" customHeight="1" spans="1:20">
      <c r="A54" s="8">
        <f t="shared" si="0"/>
        <v>53</v>
      </c>
      <c r="B54" s="8" t="s">
        <v>143</v>
      </c>
      <c r="C54" s="9" t="s">
        <v>201</v>
      </c>
      <c r="D54" s="10" t="s">
        <v>202</v>
      </c>
      <c r="E54" s="11" t="s">
        <v>23</v>
      </c>
      <c r="F54" s="11"/>
      <c r="G54" s="10" t="s">
        <v>24</v>
      </c>
      <c r="H54" s="10" t="s">
        <v>66</v>
      </c>
      <c r="I54" s="10"/>
      <c r="J54" s="10"/>
      <c r="K54" s="10"/>
      <c r="L54" s="12">
        <f>计价规则!$B$2+计价规则!$B$3*MAX(0,IF(H54="",0,LEN(H54)-LEN(SUBSTITUTE(H54,"、",""))+1)-(IF(ISNUMBER(SEARCH("WiFi通信模块",H54)),1,0)+IF(ISNUMBER(SEARCH("ESP8266 WiFi模块",H54)),1,0)+IF(ISNUMBER(SEARCH("NRF24L01无线通信模块",H54)),1,0)+IF(ISNUMBER(SEARCH("蓝牙模块",H54)),1,0)+IF(ISNUMBER(SEARCH("语音识别模块",H54)),1,0)+IF(ISNUMBER(SEARCH("语音播报模块",H54)),1,0)+IF(ISNUMBER(SEARCH("RFID模块",H54)),1,0)+IF(ISNUMBER(SEARCH("RFID读卡模块",H54)),1,0)+IF(ISNUMBER(SEARCH("GPS定位模块",H54)),1,0)+IF(ISNUMBER(SEARCH("GSM通信模块",H54)),1,0)+IF(ISNUMBER(SEARCH("摄像头模块",H54)),1,0)+IF(ISNUMBER(SEARCH("人脸识别模块",H54)),1,0)+IF(ISNUMBER(SEARCH("手势识别传感器",H54)),1,0)))</f>
        <v>90</v>
      </c>
      <c r="M54" s="12">
        <f>计价规则!$B$4+计价规则!$B$5*IF(H54="",0,LEN(H54)-LEN(SUBSTITUTE(H54,"、",""))+1)</f>
        <v>90</v>
      </c>
      <c r="N54" s="12"/>
      <c r="O54" s="12">
        <f>计价规则!$B$6</f>
        <v>100</v>
      </c>
      <c r="P54" s="12">
        <f>计价规则!$B$6</f>
        <v>100</v>
      </c>
      <c r="Q54" s="12">
        <f>计价规则!$B$6</f>
        <v>100</v>
      </c>
      <c r="R54" s="12">
        <f>计价规则!$B$7</f>
        <v>400</v>
      </c>
      <c r="S54" s="8" t="s">
        <v>26</v>
      </c>
      <c r="T54" s="13">
        <v>53</v>
      </c>
    </row>
    <row r="55" ht="26" customHeight="1" spans="1:20">
      <c r="A55" s="8">
        <f t="shared" si="0"/>
        <v>54</v>
      </c>
      <c r="B55" s="8" t="s">
        <v>143</v>
      </c>
      <c r="C55" s="9" t="s">
        <v>203</v>
      </c>
      <c r="D55" s="10" t="s">
        <v>204</v>
      </c>
      <c r="E55" s="11" t="s">
        <v>23</v>
      </c>
      <c r="F55" s="11"/>
      <c r="G55" s="10" t="s">
        <v>24</v>
      </c>
      <c r="H55" s="10" t="s">
        <v>198</v>
      </c>
      <c r="I55" s="10"/>
      <c r="J55" s="10"/>
      <c r="K55" s="10"/>
      <c r="L55" s="12">
        <f>计价规则!$B$2+计价规则!$B$3*MAX(0,IF(H55="",0,LEN(H55)-LEN(SUBSTITUTE(H55,"、",""))+1)-(IF(ISNUMBER(SEARCH("WiFi通信模块",H55)),1,0)+IF(ISNUMBER(SEARCH("ESP8266 WiFi模块",H55)),1,0)+IF(ISNUMBER(SEARCH("NRF24L01无线通信模块",H55)),1,0)+IF(ISNUMBER(SEARCH("蓝牙模块",H55)),1,0)+IF(ISNUMBER(SEARCH("语音识别模块",H55)),1,0)+IF(ISNUMBER(SEARCH("语音播报模块",H55)),1,0)+IF(ISNUMBER(SEARCH("RFID模块",H55)),1,0)+IF(ISNUMBER(SEARCH("RFID读卡模块",H55)),1,0)+IF(ISNUMBER(SEARCH("GPS定位模块",H55)),1,0)+IF(ISNUMBER(SEARCH("GSM通信模块",H55)),1,0)+IF(ISNUMBER(SEARCH("摄像头模块",H55)),1,0)+IF(ISNUMBER(SEARCH("人脸识别模块",H55)),1,0)+IF(ISNUMBER(SEARCH("手势识别传感器",H55)),1,0)))</f>
        <v>90</v>
      </c>
      <c r="M55" s="12">
        <f>计价规则!$B$4+计价规则!$B$5*IF(H55="",0,LEN(H55)-LEN(SUBSTITUTE(H55,"、",""))+1)</f>
        <v>90</v>
      </c>
      <c r="N55" s="12"/>
      <c r="O55" s="12">
        <f>计价规则!$B$6</f>
        <v>100</v>
      </c>
      <c r="P55" s="12">
        <f>计价规则!$B$6</f>
        <v>100</v>
      </c>
      <c r="Q55" s="12">
        <f>计价规则!$B$6</f>
        <v>100</v>
      </c>
      <c r="R55" s="12">
        <f>计价规则!$B$7</f>
        <v>400</v>
      </c>
      <c r="S55" s="8" t="s">
        <v>26</v>
      </c>
      <c r="T55" s="13">
        <v>54</v>
      </c>
    </row>
    <row r="56" ht="26" customHeight="1" spans="1:20">
      <c r="A56" s="8">
        <f t="shared" si="0"/>
        <v>55</v>
      </c>
      <c r="B56" s="8" t="s">
        <v>143</v>
      </c>
      <c r="C56" s="9" t="s">
        <v>205</v>
      </c>
      <c r="D56" s="10" t="s">
        <v>206</v>
      </c>
      <c r="E56" s="11" t="s">
        <v>23</v>
      </c>
      <c r="F56" s="11"/>
      <c r="G56" s="10" t="s">
        <v>69</v>
      </c>
      <c r="H56" s="10" t="s">
        <v>207</v>
      </c>
      <c r="I56" s="10"/>
      <c r="J56" s="10"/>
      <c r="K56" s="10"/>
      <c r="L56" s="12">
        <f>计价规则!$B$2+计价规则!$B$3*MAX(0,IF(H56="",0,LEN(H56)-LEN(SUBSTITUTE(H56,"、",""))+1)-(IF(ISNUMBER(SEARCH("WiFi通信模块",H56)),1,0)+IF(ISNUMBER(SEARCH("ESP8266 WiFi模块",H56)),1,0)+IF(ISNUMBER(SEARCH("NRF24L01无线通信模块",H56)),1,0)+IF(ISNUMBER(SEARCH("蓝牙模块",H56)),1,0)+IF(ISNUMBER(SEARCH("语音识别模块",H56)),1,0)+IF(ISNUMBER(SEARCH("语音播报模块",H56)),1,0)+IF(ISNUMBER(SEARCH("RFID模块",H56)),1,0)+IF(ISNUMBER(SEARCH("RFID读卡模块",H56)),1,0)+IF(ISNUMBER(SEARCH("GPS定位模块",H56)),1,0)+IF(ISNUMBER(SEARCH("GSM通信模块",H56)),1,0)+IF(ISNUMBER(SEARCH("摄像头模块",H56)),1,0)+IF(ISNUMBER(SEARCH("人脸识别模块",H56)),1,0)+IF(ISNUMBER(SEARCH("手势识别传感器",H56)),1,0)))</f>
        <v>105</v>
      </c>
      <c r="M56" s="12">
        <f>计价规则!$B$4+计价规则!$B$5*IF(H56="",0,LEN(H56)-LEN(SUBSTITUTE(H56,"、",""))+1)</f>
        <v>110</v>
      </c>
      <c r="N56" s="12"/>
      <c r="O56" s="12">
        <f>计价规则!$B$6</f>
        <v>100</v>
      </c>
      <c r="P56" s="12">
        <f>计价规则!$B$6</f>
        <v>100</v>
      </c>
      <c r="Q56" s="12">
        <f>计价规则!$B$6</f>
        <v>100</v>
      </c>
      <c r="R56" s="12">
        <f>计价规则!$B$7</f>
        <v>400</v>
      </c>
      <c r="S56" s="8" t="s">
        <v>26</v>
      </c>
      <c r="T56" s="13">
        <v>55</v>
      </c>
    </row>
    <row r="57" ht="26" customHeight="1" spans="1:20">
      <c r="A57" s="8">
        <f t="shared" si="0"/>
        <v>56</v>
      </c>
      <c r="B57" s="8" t="s">
        <v>208</v>
      </c>
      <c r="C57" s="9" t="s">
        <v>209</v>
      </c>
      <c r="D57" s="10" t="s">
        <v>210</v>
      </c>
      <c r="E57" s="11" t="s">
        <v>23</v>
      </c>
      <c r="F57" s="11"/>
      <c r="G57" s="10" t="s">
        <v>69</v>
      </c>
      <c r="H57" s="10" t="s">
        <v>211</v>
      </c>
      <c r="I57" s="10"/>
      <c r="J57" s="10"/>
      <c r="K57" s="10"/>
      <c r="L57" s="12">
        <f>计价规则!$B$2+计价规则!$B$3*MAX(0,IF(H57="",0,LEN(H57)-LEN(SUBSTITUTE(H57,"、",""))+1)-(IF(ISNUMBER(SEARCH("WiFi通信模块",H57)),1,0)+IF(ISNUMBER(SEARCH("ESP8266 WiFi模块",H57)),1,0)+IF(ISNUMBER(SEARCH("NRF24L01无线通信模块",H57)),1,0)+IF(ISNUMBER(SEARCH("蓝牙模块",H57)),1,0)+IF(ISNUMBER(SEARCH("语音识别模块",H57)),1,0)+IF(ISNUMBER(SEARCH("语音播报模块",H57)),1,0)+IF(ISNUMBER(SEARCH("RFID模块",H57)),1,0)+IF(ISNUMBER(SEARCH("RFID读卡模块",H57)),1,0)+IF(ISNUMBER(SEARCH("GPS定位模块",H57)),1,0)+IF(ISNUMBER(SEARCH("GSM通信模块",H57)),1,0)+IF(ISNUMBER(SEARCH("摄像头模块",H57)),1,0)+IF(ISNUMBER(SEARCH("人脸识别模块",H57)),1,0)+IF(ISNUMBER(SEARCH("手势识别传感器",H57)),1,0)))</f>
        <v>105</v>
      </c>
      <c r="M57" s="12">
        <f>计价规则!$B$4+计价规则!$B$5*IF(H57="",0,LEN(H57)-LEN(SUBSTITUTE(H57,"、",""))+1)</f>
        <v>110</v>
      </c>
      <c r="N57" s="12"/>
      <c r="O57" s="12">
        <f>计价规则!$B$6</f>
        <v>100</v>
      </c>
      <c r="P57" s="12">
        <f>计价规则!$B$6</f>
        <v>100</v>
      </c>
      <c r="Q57" s="12">
        <f>计价规则!$B$6</f>
        <v>100</v>
      </c>
      <c r="R57" s="12">
        <f>计价规则!$B$7</f>
        <v>400</v>
      </c>
      <c r="S57" s="8" t="s">
        <v>26</v>
      </c>
      <c r="T57" s="13">
        <v>56</v>
      </c>
    </row>
    <row r="58" ht="26" customHeight="1" spans="1:20">
      <c r="A58" s="8">
        <f t="shared" si="0"/>
        <v>57</v>
      </c>
      <c r="B58" s="8" t="s">
        <v>208</v>
      </c>
      <c r="C58" s="9" t="s">
        <v>212</v>
      </c>
      <c r="D58" s="10" t="s">
        <v>213</v>
      </c>
      <c r="E58" s="11" t="s">
        <v>23</v>
      </c>
      <c r="F58" s="11"/>
      <c r="G58" s="10" t="s">
        <v>69</v>
      </c>
      <c r="H58" s="10" t="s">
        <v>214</v>
      </c>
      <c r="I58" s="10"/>
      <c r="J58" s="10"/>
      <c r="K58" s="10"/>
      <c r="L58" s="12">
        <f>计价规则!$B$2+计价规则!$B$3*MAX(0,IF(H58="",0,LEN(H58)-LEN(SUBSTITUTE(H58,"、",""))+1)-(IF(ISNUMBER(SEARCH("WiFi通信模块",H58)),1,0)+IF(ISNUMBER(SEARCH("ESP8266 WiFi模块",H58)),1,0)+IF(ISNUMBER(SEARCH("NRF24L01无线通信模块",H58)),1,0)+IF(ISNUMBER(SEARCH("蓝牙模块",H58)),1,0)+IF(ISNUMBER(SEARCH("语音识别模块",H58)),1,0)+IF(ISNUMBER(SEARCH("语音播报模块",H58)),1,0)+IF(ISNUMBER(SEARCH("RFID模块",H58)),1,0)+IF(ISNUMBER(SEARCH("RFID读卡模块",H58)),1,0)+IF(ISNUMBER(SEARCH("GPS定位模块",H58)),1,0)+IF(ISNUMBER(SEARCH("GSM通信模块",H58)),1,0)+IF(ISNUMBER(SEARCH("摄像头模块",H58)),1,0)+IF(ISNUMBER(SEARCH("人脸识别模块",H58)),1,0)+IF(ISNUMBER(SEARCH("手势识别传感器",H58)),1,0)))</f>
        <v>90</v>
      </c>
      <c r="M58" s="12">
        <f>计价规则!$B$4+计价规则!$B$5*IF(H58="",0,LEN(H58)-LEN(SUBSTITUTE(H58,"、",""))+1)</f>
        <v>90</v>
      </c>
      <c r="N58" s="12"/>
      <c r="O58" s="12">
        <f>计价规则!$B$6</f>
        <v>100</v>
      </c>
      <c r="P58" s="12">
        <f>计价规则!$B$6</f>
        <v>100</v>
      </c>
      <c r="Q58" s="12">
        <f>计价规则!$B$6</f>
        <v>100</v>
      </c>
      <c r="R58" s="12">
        <f>计价规则!$B$7</f>
        <v>400</v>
      </c>
      <c r="S58" s="8" t="s">
        <v>26</v>
      </c>
      <c r="T58" s="13">
        <v>57</v>
      </c>
    </row>
    <row r="59" ht="26" customHeight="1" spans="1:20">
      <c r="A59" s="8">
        <f t="shared" si="0"/>
        <v>58</v>
      </c>
      <c r="B59" s="8" t="s">
        <v>208</v>
      </c>
      <c r="C59" s="9" t="s">
        <v>215</v>
      </c>
      <c r="D59" s="10" t="s">
        <v>216</v>
      </c>
      <c r="E59" s="11" t="s">
        <v>23</v>
      </c>
      <c r="F59" s="11"/>
      <c r="G59" s="10" t="s">
        <v>69</v>
      </c>
      <c r="H59" s="10" t="s">
        <v>217</v>
      </c>
      <c r="I59" s="10"/>
      <c r="J59" s="10"/>
      <c r="K59" s="10"/>
      <c r="L59" s="12">
        <f>计价规则!$B$2+计价规则!$B$3*MAX(0,IF(H59="",0,LEN(H59)-LEN(SUBSTITUTE(H59,"、",""))+1)-(IF(ISNUMBER(SEARCH("WiFi通信模块",H59)),1,0)+IF(ISNUMBER(SEARCH("ESP8266 WiFi模块",H59)),1,0)+IF(ISNUMBER(SEARCH("NRF24L01无线通信模块",H59)),1,0)+IF(ISNUMBER(SEARCH("蓝牙模块",H59)),1,0)+IF(ISNUMBER(SEARCH("语音识别模块",H59)),1,0)+IF(ISNUMBER(SEARCH("语音播报模块",H59)),1,0)+IF(ISNUMBER(SEARCH("RFID模块",H59)),1,0)+IF(ISNUMBER(SEARCH("RFID读卡模块",H59)),1,0)+IF(ISNUMBER(SEARCH("GPS定位模块",H59)),1,0)+IF(ISNUMBER(SEARCH("GSM通信模块",H59)),1,0)+IF(ISNUMBER(SEARCH("摄像头模块",H59)),1,0)+IF(ISNUMBER(SEARCH("人脸识别模块",H59)),1,0)+IF(ISNUMBER(SEARCH("手势识别传感器",H59)),1,0)))</f>
        <v>105</v>
      </c>
      <c r="M59" s="12">
        <f>计价规则!$B$4+计价规则!$B$5*IF(H59="",0,LEN(H59)-LEN(SUBSTITUTE(H59,"、",""))+1)</f>
        <v>110</v>
      </c>
      <c r="N59" s="12"/>
      <c r="O59" s="12">
        <f>计价规则!$B$6</f>
        <v>100</v>
      </c>
      <c r="P59" s="12">
        <f>计价规则!$B$6</f>
        <v>100</v>
      </c>
      <c r="Q59" s="12">
        <f>计价规则!$B$6</f>
        <v>100</v>
      </c>
      <c r="R59" s="12">
        <f>计价规则!$B$7</f>
        <v>400</v>
      </c>
      <c r="S59" s="8" t="s">
        <v>26</v>
      </c>
      <c r="T59" s="13">
        <v>58</v>
      </c>
    </row>
    <row r="60" ht="26" customHeight="1" spans="1:20">
      <c r="A60" s="8">
        <f t="shared" si="0"/>
        <v>59</v>
      </c>
      <c r="B60" s="8" t="s">
        <v>208</v>
      </c>
      <c r="C60" s="9" t="s">
        <v>218</v>
      </c>
      <c r="D60" s="10" t="s">
        <v>219</v>
      </c>
      <c r="E60" s="11" t="s">
        <v>23</v>
      </c>
      <c r="F60" s="11"/>
      <c r="G60" s="10" t="s">
        <v>24</v>
      </c>
      <c r="H60" s="10" t="s">
        <v>25</v>
      </c>
      <c r="I60" s="10"/>
      <c r="J60" s="10"/>
      <c r="K60" s="10"/>
      <c r="L60" s="12">
        <f>计价规则!$B$2+计价规则!$B$3*MAX(0,IF(H60="",0,LEN(H60)-LEN(SUBSTITUTE(H60,"、",""))+1)-(IF(ISNUMBER(SEARCH("WiFi通信模块",H60)),1,0)+IF(ISNUMBER(SEARCH("ESP8266 WiFi模块",H60)),1,0)+IF(ISNUMBER(SEARCH("NRF24L01无线通信模块",H60)),1,0)+IF(ISNUMBER(SEARCH("蓝牙模块",H60)),1,0)+IF(ISNUMBER(SEARCH("语音识别模块",H60)),1,0)+IF(ISNUMBER(SEARCH("语音播报模块",H60)),1,0)+IF(ISNUMBER(SEARCH("RFID模块",H60)),1,0)+IF(ISNUMBER(SEARCH("RFID读卡模块",H60)),1,0)+IF(ISNUMBER(SEARCH("GPS定位模块",H60)),1,0)+IF(ISNUMBER(SEARCH("GSM通信模块",H60)),1,0)+IF(ISNUMBER(SEARCH("摄像头模块",H60)),1,0)+IF(ISNUMBER(SEARCH("人脸识别模块",H60)),1,0)+IF(ISNUMBER(SEARCH("手势识别传感器",H60)),1,0)))</f>
        <v>90</v>
      </c>
      <c r="M60" s="12">
        <f>计价规则!$B$4+计价规则!$B$5*IF(H60="",0,LEN(H60)-LEN(SUBSTITUTE(H60,"、",""))+1)</f>
        <v>90</v>
      </c>
      <c r="N60" s="12"/>
      <c r="O60" s="12">
        <f>计价规则!$B$6</f>
        <v>100</v>
      </c>
      <c r="P60" s="12">
        <f>计价规则!$B$6</f>
        <v>100</v>
      </c>
      <c r="Q60" s="12">
        <f>计价规则!$B$6</f>
        <v>100</v>
      </c>
      <c r="R60" s="12">
        <f>计价规则!$B$7</f>
        <v>400</v>
      </c>
      <c r="S60" s="8" t="s">
        <v>26</v>
      </c>
      <c r="T60" s="13">
        <v>59</v>
      </c>
    </row>
    <row r="61" ht="26" customHeight="1" spans="1:20">
      <c r="A61" s="8">
        <f t="shared" si="0"/>
        <v>60</v>
      </c>
      <c r="B61" s="8" t="s">
        <v>208</v>
      </c>
      <c r="C61" s="9" t="s">
        <v>220</v>
      </c>
      <c r="D61" s="10" t="s">
        <v>221</v>
      </c>
      <c r="E61" s="11" t="s">
        <v>23</v>
      </c>
      <c r="F61" s="11"/>
      <c r="G61" s="10" t="s">
        <v>69</v>
      </c>
      <c r="H61" s="10" t="s">
        <v>222</v>
      </c>
      <c r="I61" s="10"/>
      <c r="J61" s="10"/>
      <c r="K61" s="10"/>
      <c r="L61" s="12">
        <f>计价规则!$B$2+计价规则!$B$3*MAX(0,IF(H61="",0,LEN(H61)-LEN(SUBSTITUTE(H61,"、",""))+1)-(IF(ISNUMBER(SEARCH("WiFi通信模块",H61)),1,0)+IF(ISNUMBER(SEARCH("ESP8266 WiFi模块",H61)),1,0)+IF(ISNUMBER(SEARCH("NRF24L01无线通信模块",H61)),1,0)+IF(ISNUMBER(SEARCH("蓝牙模块",H61)),1,0)+IF(ISNUMBER(SEARCH("语音识别模块",H61)),1,0)+IF(ISNUMBER(SEARCH("语音播报模块",H61)),1,0)+IF(ISNUMBER(SEARCH("RFID模块",H61)),1,0)+IF(ISNUMBER(SEARCH("RFID读卡模块",H61)),1,0)+IF(ISNUMBER(SEARCH("GPS定位模块",H61)),1,0)+IF(ISNUMBER(SEARCH("GSM通信模块",H61)),1,0)+IF(ISNUMBER(SEARCH("摄像头模块",H61)),1,0)+IF(ISNUMBER(SEARCH("人脸识别模块",H61)),1,0)+IF(ISNUMBER(SEARCH("手势识别传感器",H61)),1,0)))</f>
        <v>105</v>
      </c>
      <c r="M61" s="12">
        <f>计价规则!$B$4+计价规则!$B$5*IF(H61="",0,LEN(H61)-LEN(SUBSTITUTE(H61,"、",""))+1)</f>
        <v>110</v>
      </c>
      <c r="N61" s="12"/>
      <c r="O61" s="12">
        <f>计价规则!$B$6</f>
        <v>100</v>
      </c>
      <c r="P61" s="12">
        <f>计价规则!$B$6</f>
        <v>100</v>
      </c>
      <c r="Q61" s="12">
        <f>计价规则!$B$6</f>
        <v>100</v>
      </c>
      <c r="R61" s="12">
        <f>计价规则!$B$7</f>
        <v>400</v>
      </c>
      <c r="S61" s="8" t="s">
        <v>26</v>
      </c>
      <c r="T61" s="13">
        <v>60</v>
      </c>
    </row>
    <row r="62" ht="26" customHeight="1" spans="1:20">
      <c r="A62" s="8">
        <f t="shared" si="0"/>
        <v>61</v>
      </c>
      <c r="B62" s="8" t="s">
        <v>208</v>
      </c>
      <c r="C62" s="9" t="s">
        <v>223</v>
      </c>
      <c r="D62" s="10" t="s">
        <v>224</v>
      </c>
      <c r="E62" s="11" t="s">
        <v>23</v>
      </c>
      <c r="F62" s="11"/>
      <c r="G62" s="10" t="s">
        <v>69</v>
      </c>
      <c r="H62" s="10" t="s">
        <v>222</v>
      </c>
      <c r="I62" s="10"/>
      <c r="J62" s="10"/>
      <c r="K62" s="10"/>
      <c r="L62" s="12">
        <f>计价规则!$B$2+计价规则!$B$3*MAX(0,IF(H62="",0,LEN(H62)-LEN(SUBSTITUTE(H62,"、",""))+1)-(IF(ISNUMBER(SEARCH("WiFi通信模块",H62)),1,0)+IF(ISNUMBER(SEARCH("ESP8266 WiFi模块",H62)),1,0)+IF(ISNUMBER(SEARCH("NRF24L01无线通信模块",H62)),1,0)+IF(ISNUMBER(SEARCH("蓝牙模块",H62)),1,0)+IF(ISNUMBER(SEARCH("语音识别模块",H62)),1,0)+IF(ISNUMBER(SEARCH("语音播报模块",H62)),1,0)+IF(ISNUMBER(SEARCH("RFID模块",H62)),1,0)+IF(ISNUMBER(SEARCH("RFID读卡模块",H62)),1,0)+IF(ISNUMBER(SEARCH("GPS定位模块",H62)),1,0)+IF(ISNUMBER(SEARCH("GSM通信模块",H62)),1,0)+IF(ISNUMBER(SEARCH("摄像头模块",H62)),1,0)+IF(ISNUMBER(SEARCH("人脸识别模块",H62)),1,0)+IF(ISNUMBER(SEARCH("手势识别传感器",H62)),1,0)))</f>
        <v>105</v>
      </c>
      <c r="M62" s="12">
        <f>计价规则!$B$4+计价规则!$B$5*IF(H62="",0,LEN(H62)-LEN(SUBSTITUTE(H62,"、",""))+1)</f>
        <v>110</v>
      </c>
      <c r="N62" s="12"/>
      <c r="O62" s="12">
        <f>计价规则!$B$6</f>
        <v>100</v>
      </c>
      <c r="P62" s="12">
        <f>计价规则!$B$6</f>
        <v>100</v>
      </c>
      <c r="Q62" s="12">
        <f>计价规则!$B$6</f>
        <v>100</v>
      </c>
      <c r="R62" s="12">
        <f>计价规则!$B$7</f>
        <v>400</v>
      </c>
      <c r="S62" s="8" t="s">
        <v>26</v>
      </c>
      <c r="T62" s="13">
        <v>61</v>
      </c>
    </row>
    <row r="63" ht="26" customHeight="1" spans="1:20">
      <c r="A63" s="8">
        <f t="shared" si="0"/>
        <v>62</v>
      </c>
      <c r="B63" s="8" t="s">
        <v>208</v>
      </c>
      <c r="C63" s="9" t="s">
        <v>225</v>
      </c>
      <c r="D63" s="10" t="s">
        <v>226</v>
      </c>
      <c r="E63" s="11" t="s">
        <v>23</v>
      </c>
      <c r="F63" s="11"/>
      <c r="G63" s="10" t="s">
        <v>69</v>
      </c>
      <c r="H63" s="10" t="s">
        <v>214</v>
      </c>
      <c r="I63" s="10"/>
      <c r="J63" s="10"/>
      <c r="K63" s="10"/>
      <c r="L63" s="12">
        <f>计价规则!$B$2+计价规则!$B$3*MAX(0,IF(H63="",0,LEN(H63)-LEN(SUBSTITUTE(H63,"、",""))+1)-(IF(ISNUMBER(SEARCH("WiFi通信模块",H63)),1,0)+IF(ISNUMBER(SEARCH("ESP8266 WiFi模块",H63)),1,0)+IF(ISNUMBER(SEARCH("NRF24L01无线通信模块",H63)),1,0)+IF(ISNUMBER(SEARCH("蓝牙模块",H63)),1,0)+IF(ISNUMBER(SEARCH("语音识别模块",H63)),1,0)+IF(ISNUMBER(SEARCH("语音播报模块",H63)),1,0)+IF(ISNUMBER(SEARCH("RFID模块",H63)),1,0)+IF(ISNUMBER(SEARCH("RFID读卡模块",H63)),1,0)+IF(ISNUMBER(SEARCH("GPS定位模块",H63)),1,0)+IF(ISNUMBER(SEARCH("GSM通信模块",H63)),1,0)+IF(ISNUMBER(SEARCH("摄像头模块",H63)),1,0)+IF(ISNUMBER(SEARCH("人脸识别模块",H63)),1,0)+IF(ISNUMBER(SEARCH("手势识别传感器",H63)),1,0)))</f>
        <v>90</v>
      </c>
      <c r="M63" s="12">
        <f>计价规则!$B$4+计价规则!$B$5*IF(H63="",0,LEN(H63)-LEN(SUBSTITUTE(H63,"、",""))+1)</f>
        <v>90</v>
      </c>
      <c r="N63" s="12"/>
      <c r="O63" s="12">
        <f>计价规则!$B$6</f>
        <v>100</v>
      </c>
      <c r="P63" s="12">
        <f>计价规则!$B$6</f>
        <v>100</v>
      </c>
      <c r="Q63" s="12">
        <f>计价规则!$B$6</f>
        <v>100</v>
      </c>
      <c r="R63" s="12">
        <f>计价规则!$B$7</f>
        <v>400</v>
      </c>
      <c r="S63" s="8" t="s">
        <v>26</v>
      </c>
      <c r="T63" s="13">
        <v>62</v>
      </c>
    </row>
    <row r="64" ht="26" customHeight="1" spans="1:20">
      <c r="A64" s="8">
        <f t="shared" si="0"/>
        <v>63</v>
      </c>
      <c r="B64" s="8" t="s">
        <v>208</v>
      </c>
      <c r="C64" s="9" t="s">
        <v>227</v>
      </c>
      <c r="D64" s="10" t="s">
        <v>228</v>
      </c>
      <c r="E64" s="11" t="s">
        <v>23</v>
      </c>
      <c r="F64" s="11"/>
      <c r="G64" s="10" t="s">
        <v>69</v>
      </c>
      <c r="H64" s="10" t="s">
        <v>214</v>
      </c>
      <c r="I64" s="10"/>
      <c r="J64" s="10"/>
      <c r="K64" s="10"/>
      <c r="L64" s="12">
        <f>计价规则!$B$2+计价规则!$B$3*MAX(0,IF(H64="",0,LEN(H64)-LEN(SUBSTITUTE(H64,"、",""))+1)-(IF(ISNUMBER(SEARCH("WiFi通信模块",H64)),1,0)+IF(ISNUMBER(SEARCH("ESP8266 WiFi模块",H64)),1,0)+IF(ISNUMBER(SEARCH("NRF24L01无线通信模块",H64)),1,0)+IF(ISNUMBER(SEARCH("蓝牙模块",H64)),1,0)+IF(ISNUMBER(SEARCH("语音识别模块",H64)),1,0)+IF(ISNUMBER(SEARCH("语音播报模块",H64)),1,0)+IF(ISNUMBER(SEARCH("RFID模块",H64)),1,0)+IF(ISNUMBER(SEARCH("RFID读卡模块",H64)),1,0)+IF(ISNUMBER(SEARCH("GPS定位模块",H64)),1,0)+IF(ISNUMBER(SEARCH("GSM通信模块",H64)),1,0)+IF(ISNUMBER(SEARCH("摄像头模块",H64)),1,0)+IF(ISNUMBER(SEARCH("人脸识别模块",H64)),1,0)+IF(ISNUMBER(SEARCH("手势识别传感器",H64)),1,0)))</f>
        <v>90</v>
      </c>
      <c r="M64" s="12">
        <f>计价规则!$B$4+计价规则!$B$5*IF(H64="",0,LEN(H64)-LEN(SUBSTITUTE(H64,"、",""))+1)</f>
        <v>90</v>
      </c>
      <c r="N64" s="12"/>
      <c r="O64" s="12">
        <f>计价规则!$B$6</f>
        <v>100</v>
      </c>
      <c r="P64" s="12">
        <f>计价规则!$B$6</f>
        <v>100</v>
      </c>
      <c r="Q64" s="12">
        <f>计价规则!$B$6</f>
        <v>100</v>
      </c>
      <c r="R64" s="12">
        <f>计价规则!$B$7</f>
        <v>400</v>
      </c>
      <c r="S64" s="8" t="s">
        <v>26</v>
      </c>
      <c r="T64" s="13">
        <v>63</v>
      </c>
    </row>
    <row r="65" ht="26" customHeight="1" spans="1:20">
      <c r="A65" s="8">
        <f t="shared" si="0"/>
        <v>64</v>
      </c>
      <c r="B65" s="8" t="s">
        <v>208</v>
      </c>
      <c r="C65" s="9" t="s">
        <v>229</v>
      </c>
      <c r="D65" s="10" t="s">
        <v>230</v>
      </c>
      <c r="E65" s="11" t="s">
        <v>23</v>
      </c>
      <c r="F65" s="11"/>
      <c r="G65" s="10" t="s">
        <v>69</v>
      </c>
      <c r="H65" s="10" t="s">
        <v>231</v>
      </c>
      <c r="I65" s="10"/>
      <c r="J65" s="10"/>
      <c r="K65" s="10"/>
      <c r="L65" s="12">
        <f>计价规则!$B$2+计价规则!$B$3*MAX(0,IF(H65="",0,LEN(H65)-LEN(SUBSTITUTE(H65,"、",""))+1)-(IF(ISNUMBER(SEARCH("WiFi通信模块",H65)),1,0)+IF(ISNUMBER(SEARCH("ESP8266 WiFi模块",H65)),1,0)+IF(ISNUMBER(SEARCH("NRF24L01无线通信模块",H65)),1,0)+IF(ISNUMBER(SEARCH("蓝牙模块",H65)),1,0)+IF(ISNUMBER(SEARCH("语音识别模块",H65)),1,0)+IF(ISNUMBER(SEARCH("语音播报模块",H65)),1,0)+IF(ISNUMBER(SEARCH("RFID模块",H65)),1,0)+IF(ISNUMBER(SEARCH("RFID读卡模块",H65)),1,0)+IF(ISNUMBER(SEARCH("GPS定位模块",H65)),1,0)+IF(ISNUMBER(SEARCH("GSM通信模块",H65)),1,0)+IF(ISNUMBER(SEARCH("摄像头模块",H65)),1,0)+IF(ISNUMBER(SEARCH("人脸识别模块",H65)),1,0)+IF(ISNUMBER(SEARCH("手势识别传感器",H65)),1,0)))</f>
        <v>120</v>
      </c>
      <c r="M65" s="12">
        <f>计价规则!$B$4+计价规则!$B$5*IF(H65="",0,LEN(H65)-LEN(SUBSTITUTE(H65,"、",""))+1)</f>
        <v>130</v>
      </c>
      <c r="N65" s="12"/>
      <c r="O65" s="12">
        <f>计价规则!$B$6</f>
        <v>100</v>
      </c>
      <c r="P65" s="12">
        <f>计价规则!$B$6</f>
        <v>100</v>
      </c>
      <c r="Q65" s="12">
        <f>计价规则!$B$6</f>
        <v>100</v>
      </c>
      <c r="R65" s="12">
        <f>计价规则!$B$7</f>
        <v>400</v>
      </c>
      <c r="S65" s="8" t="s">
        <v>26</v>
      </c>
      <c r="T65" s="13">
        <v>64</v>
      </c>
    </row>
    <row r="66" ht="26" customHeight="1" spans="1:20">
      <c r="A66" s="8">
        <f t="shared" ref="A66:A129" si="1">IF(B66&lt;&gt;"",ROW()-1,"")</f>
        <v>65</v>
      </c>
      <c r="B66" s="8" t="s">
        <v>208</v>
      </c>
      <c r="C66" s="9" t="s">
        <v>232</v>
      </c>
      <c r="D66" s="10" t="s">
        <v>233</v>
      </c>
      <c r="E66" s="11" t="s">
        <v>23</v>
      </c>
      <c r="F66" s="11"/>
      <c r="G66" s="10" t="s">
        <v>69</v>
      </c>
      <c r="H66" s="10" t="s">
        <v>234</v>
      </c>
      <c r="I66" s="10"/>
      <c r="J66" s="10"/>
      <c r="K66" s="10"/>
      <c r="L66" s="12">
        <f>计价规则!$B$2+计价规则!$B$3*MAX(0,IF(H66="",0,LEN(H66)-LEN(SUBSTITUTE(H66,"、",""))+1)-(IF(ISNUMBER(SEARCH("WiFi通信模块",H66)),1,0)+IF(ISNUMBER(SEARCH("ESP8266 WiFi模块",H66)),1,0)+IF(ISNUMBER(SEARCH("NRF24L01无线通信模块",H66)),1,0)+IF(ISNUMBER(SEARCH("蓝牙模块",H66)),1,0)+IF(ISNUMBER(SEARCH("语音识别模块",H66)),1,0)+IF(ISNUMBER(SEARCH("语音播报模块",H66)),1,0)+IF(ISNUMBER(SEARCH("RFID模块",H66)),1,0)+IF(ISNUMBER(SEARCH("RFID读卡模块",H66)),1,0)+IF(ISNUMBER(SEARCH("GPS定位模块",H66)),1,0)+IF(ISNUMBER(SEARCH("GSM通信模块",H66)),1,0)+IF(ISNUMBER(SEARCH("摄像头模块",H66)),1,0)+IF(ISNUMBER(SEARCH("人脸识别模块",H66)),1,0)+IF(ISNUMBER(SEARCH("手势识别传感器",H66)),1,0)))</f>
        <v>105</v>
      </c>
      <c r="M66" s="12">
        <f>计价规则!$B$4+计价规则!$B$5*IF(H66="",0,LEN(H66)-LEN(SUBSTITUTE(H66,"、",""))+1)</f>
        <v>110</v>
      </c>
      <c r="N66" s="12"/>
      <c r="O66" s="12">
        <f>计价规则!$B$6</f>
        <v>100</v>
      </c>
      <c r="P66" s="12">
        <f>计价规则!$B$6</f>
        <v>100</v>
      </c>
      <c r="Q66" s="12">
        <f>计价规则!$B$6</f>
        <v>100</v>
      </c>
      <c r="R66" s="12">
        <f>计价规则!$B$7</f>
        <v>400</v>
      </c>
      <c r="S66" s="8" t="s">
        <v>26</v>
      </c>
      <c r="T66" s="13">
        <v>65</v>
      </c>
    </row>
    <row r="67" ht="26" customHeight="1" spans="1:20">
      <c r="A67" s="8">
        <f t="shared" si="1"/>
        <v>66</v>
      </c>
      <c r="B67" s="8" t="s">
        <v>208</v>
      </c>
      <c r="C67" s="9" t="s">
        <v>235</v>
      </c>
      <c r="D67" s="10" t="s">
        <v>236</v>
      </c>
      <c r="E67" s="11" t="s">
        <v>23</v>
      </c>
      <c r="F67" s="11"/>
      <c r="G67" s="10" t="s">
        <v>69</v>
      </c>
      <c r="H67" s="10" t="s">
        <v>211</v>
      </c>
      <c r="I67" s="10"/>
      <c r="J67" s="10"/>
      <c r="K67" s="10"/>
      <c r="L67" s="12">
        <f>计价规则!$B$2+计价规则!$B$3*MAX(0,IF(H67="",0,LEN(H67)-LEN(SUBSTITUTE(H67,"、",""))+1)-(IF(ISNUMBER(SEARCH("WiFi通信模块",H67)),1,0)+IF(ISNUMBER(SEARCH("ESP8266 WiFi模块",H67)),1,0)+IF(ISNUMBER(SEARCH("NRF24L01无线通信模块",H67)),1,0)+IF(ISNUMBER(SEARCH("蓝牙模块",H67)),1,0)+IF(ISNUMBER(SEARCH("语音识别模块",H67)),1,0)+IF(ISNUMBER(SEARCH("语音播报模块",H67)),1,0)+IF(ISNUMBER(SEARCH("RFID模块",H67)),1,0)+IF(ISNUMBER(SEARCH("RFID读卡模块",H67)),1,0)+IF(ISNUMBER(SEARCH("GPS定位模块",H67)),1,0)+IF(ISNUMBER(SEARCH("GSM通信模块",H67)),1,0)+IF(ISNUMBER(SEARCH("摄像头模块",H67)),1,0)+IF(ISNUMBER(SEARCH("人脸识别模块",H67)),1,0)+IF(ISNUMBER(SEARCH("手势识别传感器",H67)),1,0)))</f>
        <v>105</v>
      </c>
      <c r="M67" s="12">
        <f>计价规则!$B$4+计价规则!$B$5*IF(H67="",0,LEN(H67)-LEN(SUBSTITUTE(H67,"、",""))+1)</f>
        <v>110</v>
      </c>
      <c r="N67" s="12"/>
      <c r="O67" s="12">
        <f>计价规则!$B$6</f>
        <v>100</v>
      </c>
      <c r="P67" s="12">
        <f>计价规则!$B$6</f>
        <v>100</v>
      </c>
      <c r="Q67" s="12">
        <f>计价规则!$B$6</f>
        <v>100</v>
      </c>
      <c r="R67" s="12">
        <f>计价规则!$B$7</f>
        <v>400</v>
      </c>
      <c r="S67" s="8" t="s">
        <v>26</v>
      </c>
      <c r="T67" s="13">
        <v>66</v>
      </c>
    </row>
    <row r="68" ht="26" customHeight="1" spans="1:20">
      <c r="A68" s="8">
        <f t="shared" si="1"/>
        <v>67</v>
      </c>
      <c r="B68" s="8" t="s">
        <v>208</v>
      </c>
      <c r="C68" s="9" t="s">
        <v>237</v>
      </c>
      <c r="D68" s="10" t="s">
        <v>238</v>
      </c>
      <c r="E68" s="11" t="s">
        <v>23</v>
      </c>
      <c r="F68" s="11"/>
      <c r="G68" s="10" t="s">
        <v>239</v>
      </c>
      <c r="H68" s="10" t="s">
        <v>211</v>
      </c>
      <c r="I68" s="10"/>
      <c r="J68" s="10"/>
      <c r="K68" s="10"/>
      <c r="L68" s="12">
        <f>计价规则!$B$2+计价规则!$B$3*MAX(0,IF(H68="",0,LEN(H68)-LEN(SUBSTITUTE(H68,"、",""))+1)-(IF(ISNUMBER(SEARCH("WiFi通信模块",H68)),1,0)+IF(ISNUMBER(SEARCH("ESP8266 WiFi模块",H68)),1,0)+IF(ISNUMBER(SEARCH("NRF24L01无线通信模块",H68)),1,0)+IF(ISNUMBER(SEARCH("蓝牙模块",H68)),1,0)+IF(ISNUMBER(SEARCH("语音识别模块",H68)),1,0)+IF(ISNUMBER(SEARCH("语音播报模块",H68)),1,0)+IF(ISNUMBER(SEARCH("RFID模块",H68)),1,0)+IF(ISNUMBER(SEARCH("RFID读卡模块",H68)),1,0)+IF(ISNUMBER(SEARCH("GPS定位模块",H68)),1,0)+IF(ISNUMBER(SEARCH("GSM通信模块",H68)),1,0)+IF(ISNUMBER(SEARCH("摄像头模块",H68)),1,0)+IF(ISNUMBER(SEARCH("人脸识别模块",H68)),1,0)+IF(ISNUMBER(SEARCH("手势识别传感器",H68)),1,0)))</f>
        <v>105</v>
      </c>
      <c r="M68" s="12">
        <f>计价规则!$B$4+计价规则!$B$5*IF(H68="",0,LEN(H68)-LEN(SUBSTITUTE(H68,"、",""))+1)</f>
        <v>110</v>
      </c>
      <c r="N68" s="12"/>
      <c r="O68" s="12">
        <f>计价规则!$B$6</f>
        <v>100</v>
      </c>
      <c r="P68" s="12">
        <f>计价规则!$B$6</f>
        <v>100</v>
      </c>
      <c r="Q68" s="12">
        <f>计价规则!$B$6</f>
        <v>100</v>
      </c>
      <c r="R68" s="12">
        <f>计价规则!$B$7</f>
        <v>400</v>
      </c>
      <c r="S68" s="8" t="s">
        <v>26</v>
      </c>
      <c r="T68" s="13">
        <v>67</v>
      </c>
    </row>
    <row r="69" ht="26" customHeight="1" spans="1:20">
      <c r="A69" s="8">
        <f t="shared" si="1"/>
        <v>68</v>
      </c>
      <c r="B69" s="8" t="s">
        <v>208</v>
      </c>
      <c r="C69" s="9" t="s">
        <v>240</v>
      </c>
      <c r="D69" s="10" t="s">
        <v>241</v>
      </c>
      <c r="E69" s="11" t="s">
        <v>23</v>
      </c>
      <c r="F69" s="11"/>
      <c r="G69" s="10" t="s">
        <v>69</v>
      </c>
      <c r="H69" s="10" t="s">
        <v>214</v>
      </c>
      <c r="I69" s="10"/>
      <c r="J69" s="10"/>
      <c r="K69" s="10"/>
      <c r="L69" s="12">
        <f>计价规则!$B$2+计价规则!$B$3*MAX(0,IF(H69="",0,LEN(H69)-LEN(SUBSTITUTE(H69,"、",""))+1)-(IF(ISNUMBER(SEARCH("WiFi通信模块",H69)),1,0)+IF(ISNUMBER(SEARCH("ESP8266 WiFi模块",H69)),1,0)+IF(ISNUMBER(SEARCH("NRF24L01无线通信模块",H69)),1,0)+IF(ISNUMBER(SEARCH("蓝牙模块",H69)),1,0)+IF(ISNUMBER(SEARCH("语音识别模块",H69)),1,0)+IF(ISNUMBER(SEARCH("语音播报模块",H69)),1,0)+IF(ISNUMBER(SEARCH("RFID模块",H69)),1,0)+IF(ISNUMBER(SEARCH("RFID读卡模块",H69)),1,0)+IF(ISNUMBER(SEARCH("GPS定位模块",H69)),1,0)+IF(ISNUMBER(SEARCH("GSM通信模块",H69)),1,0)+IF(ISNUMBER(SEARCH("摄像头模块",H69)),1,0)+IF(ISNUMBER(SEARCH("人脸识别模块",H69)),1,0)+IF(ISNUMBER(SEARCH("手势识别传感器",H69)),1,0)))</f>
        <v>90</v>
      </c>
      <c r="M69" s="12">
        <f>计价规则!$B$4+计价规则!$B$5*IF(H69="",0,LEN(H69)-LEN(SUBSTITUTE(H69,"、",""))+1)</f>
        <v>90</v>
      </c>
      <c r="N69" s="12"/>
      <c r="O69" s="12">
        <f>计价规则!$B$6</f>
        <v>100</v>
      </c>
      <c r="P69" s="12">
        <f>计价规则!$B$6</f>
        <v>100</v>
      </c>
      <c r="Q69" s="12">
        <f>计价规则!$B$6</f>
        <v>100</v>
      </c>
      <c r="R69" s="12">
        <f>计价规则!$B$7</f>
        <v>400</v>
      </c>
      <c r="S69" s="8" t="s">
        <v>26</v>
      </c>
      <c r="T69" s="13">
        <v>68</v>
      </c>
    </row>
    <row r="70" ht="26" customHeight="1" spans="1:20">
      <c r="A70" s="8">
        <f t="shared" si="1"/>
        <v>69</v>
      </c>
      <c r="B70" s="8" t="s">
        <v>208</v>
      </c>
      <c r="C70" s="9" t="s">
        <v>242</v>
      </c>
      <c r="D70" s="10" t="s">
        <v>243</v>
      </c>
      <c r="E70" s="11" t="s">
        <v>23</v>
      </c>
      <c r="F70" s="11"/>
      <c r="G70" s="10" t="s">
        <v>62</v>
      </c>
      <c r="H70" s="10" t="s">
        <v>244</v>
      </c>
      <c r="I70" s="10"/>
      <c r="J70" s="10"/>
      <c r="K70" s="10"/>
      <c r="L70" s="12">
        <f>计价规则!$B$2+计价规则!$B$3*MAX(0,IF(H70="",0,LEN(H70)-LEN(SUBSTITUTE(H70,"、",""))+1)-(IF(ISNUMBER(SEARCH("WiFi通信模块",H70)),1,0)+IF(ISNUMBER(SEARCH("ESP8266 WiFi模块",H70)),1,0)+IF(ISNUMBER(SEARCH("NRF24L01无线通信模块",H70)),1,0)+IF(ISNUMBER(SEARCH("蓝牙模块",H70)),1,0)+IF(ISNUMBER(SEARCH("语音识别模块",H70)),1,0)+IF(ISNUMBER(SEARCH("语音播报模块",H70)),1,0)+IF(ISNUMBER(SEARCH("RFID模块",H70)),1,0)+IF(ISNUMBER(SEARCH("RFID读卡模块",H70)),1,0)+IF(ISNUMBER(SEARCH("GPS定位模块",H70)),1,0)+IF(ISNUMBER(SEARCH("GSM通信模块",H70)),1,0)+IF(ISNUMBER(SEARCH("摄像头模块",H70)),1,0)+IF(ISNUMBER(SEARCH("人脸识别模块",H70)),1,0)+IF(ISNUMBER(SEARCH("手势识别传感器",H70)),1,0)))</f>
        <v>90</v>
      </c>
      <c r="M70" s="12">
        <f>计价规则!$B$4+计价规则!$B$5*IF(H70="",0,LEN(H70)-LEN(SUBSTITUTE(H70,"、",""))+1)</f>
        <v>90</v>
      </c>
      <c r="N70" s="12"/>
      <c r="O70" s="12">
        <f>计价规则!$B$6</f>
        <v>100</v>
      </c>
      <c r="P70" s="12">
        <f>计价规则!$B$6</f>
        <v>100</v>
      </c>
      <c r="Q70" s="12">
        <f>计价规则!$B$6</f>
        <v>100</v>
      </c>
      <c r="R70" s="12">
        <f>计价规则!$B$7</f>
        <v>400</v>
      </c>
      <c r="S70" s="8" t="s">
        <v>26</v>
      </c>
      <c r="T70" s="13">
        <v>69</v>
      </c>
    </row>
    <row r="71" ht="26" customHeight="1" spans="1:20">
      <c r="A71" s="8">
        <f t="shared" si="1"/>
        <v>70</v>
      </c>
      <c r="B71" s="8" t="s">
        <v>208</v>
      </c>
      <c r="C71" s="9" t="s">
        <v>245</v>
      </c>
      <c r="D71" s="10" t="s">
        <v>246</v>
      </c>
      <c r="E71" s="11" t="s">
        <v>23</v>
      </c>
      <c r="F71" s="11"/>
      <c r="G71" s="10" t="s">
        <v>69</v>
      </c>
      <c r="H71" s="10" t="s">
        <v>214</v>
      </c>
      <c r="I71" s="10"/>
      <c r="J71" s="10"/>
      <c r="K71" s="10"/>
      <c r="L71" s="12">
        <f>计价规则!$B$2+计价规则!$B$3*MAX(0,IF(H71="",0,LEN(H71)-LEN(SUBSTITUTE(H71,"、",""))+1)-(IF(ISNUMBER(SEARCH("WiFi通信模块",H71)),1,0)+IF(ISNUMBER(SEARCH("ESP8266 WiFi模块",H71)),1,0)+IF(ISNUMBER(SEARCH("NRF24L01无线通信模块",H71)),1,0)+IF(ISNUMBER(SEARCH("蓝牙模块",H71)),1,0)+IF(ISNUMBER(SEARCH("语音识别模块",H71)),1,0)+IF(ISNUMBER(SEARCH("语音播报模块",H71)),1,0)+IF(ISNUMBER(SEARCH("RFID模块",H71)),1,0)+IF(ISNUMBER(SEARCH("RFID读卡模块",H71)),1,0)+IF(ISNUMBER(SEARCH("GPS定位模块",H71)),1,0)+IF(ISNUMBER(SEARCH("GSM通信模块",H71)),1,0)+IF(ISNUMBER(SEARCH("摄像头模块",H71)),1,0)+IF(ISNUMBER(SEARCH("人脸识别模块",H71)),1,0)+IF(ISNUMBER(SEARCH("手势识别传感器",H71)),1,0)))</f>
        <v>90</v>
      </c>
      <c r="M71" s="12">
        <f>计价规则!$B$4+计价规则!$B$5*IF(H71="",0,LEN(H71)-LEN(SUBSTITUTE(H71,"、",""))+1)</f>
        <v>90</v>
      </c>
      <c r="N71" s="12"/>
      <c r="O71" s="12">
        <f>计价规则!$B$6</f>
        <v>100</v>
      </c>
      <c r="P71" s="12">
        <f>计价规则!$B$6</f>
        <v>100</v>
      </c>
      <c r="Q71" s="12">
        <f>计价规则!$B$6</f>
        <v>100</v>
      </c>
      <c r="R71" s="12">
        <f>计价规则!$B$7</f>
        <v>400</v>
      </c>
      <c r="S71" s="8" t="s">
        <v>26</v>
      </c>
      <c r="T71" s="13">
        <v>70</v>
      </c>
    </row>
    <row r="72" ht="26" customHeight="1" spans="1:20">
      <c r="A72" s="8">
        <f t="shared" si="1"/>
        <v>71</v>
      </c>
      <c r="B72" s="8" t="s">
        <v>208</v>
      </c>
      <c r="C72" s="9" t="s">
        <v>247</v>
      </c>
      <c r="D72" s="10" t="s">
        <v>248</v>
      </c>
      <c r="E72" s="11" t="s">
        <v>23</v>
      </c>
      <c r="F72" s="11"/>
      <c r="G72" s="10" t="s">
        <v>69</v>
      </c>
      <c r="H72" s="10" t="s">
        <v>217</v>
      </c>
      <c r="I72" s="10"/>
      <c r="J72" s="10"/>
      <c r="K72" s="10"/>
      <c r="L72" s="12">
        <f>计价规则!$B$2+计价规则!$B$3*MAX(0,IF(H72="",0,LEN(H72)-LEN(SUBSTITUTE(H72,"、",""))+1)-(IF(ISNUMBER(SEARCH("WiFi通信模块",H72)),1,0)+IF(ISNUMBER(SEARCH("ESP8266 WiFi模块",H72)),1,0)+IF(ISNUMBER(SEARCH("NRF24L01无线通信模块",H72)),1,0)+IF(ISNUMBER(SEARCH("蓝牙模块",H72)),1,0)+IF(ISNUMBER(SEARCH("语音识别模块",H72)),1,0)+IF(ISNUMBER(SEARCH("语音播报模块",H72)),1,0)+IF(ISNUMBER(SEARCH("RFID模块",H72)),1,0)+IF(ISNUMBER(SEARCH("RFID读卡模块",H72)),1,0)+IF(ISNUMBER(SEARCH("GPS定位模块",H72)),1,0)+IF(ISNUMBER(SEARCH("GSM通信模块",H72)),1,0)+IF(ISNUMBER(SEARCH("摄像头模块",H72)),1,0)+IF(ISNUMBER(SEARCH("人脸识别模块",H72)),1,0)+IF(ISNUMBER(SEARCH("手势识别传感器",H72)),1,0)))</f>
        <v>105</v>
      </c>
      <c r="M72" s="12">
        <f>计价规则!$B$4+计价规则!$B$5*IF(H72="",0,LEN(H72)-LEN(SUBSTITUTE(H72,"、",""))+1)</f>
        <v>110</v>
      </c>
      <c r="N72" s="12"/>
      <c r="O72" s="12">
        <f>计价规则!$B$6</f>
        <v>100</v>
      </c>
      <c r="P72" s="12">
        <f>计价规则!$B$6</f>
        <v>100</v>
      </c>
      <c r="Q72" s="12">
        <f>计价规则!$B$6</f>
        <v>100</v>
      </c>
      <c r="R72" s="12">
        <f>计价规则!$B$7</f>
        <v>400</v>
      </c>
      <c r="S72" s="8" t="s">
        <v>26</v>
      </c>
      <c r="T72" s="13">
        <v>71</v>
      </c>
    </row>
    <row r="73" ht="26" customHeight="1" spans="1:20">
      <c r="A73" s="8">
        <f t="shared" si="1"/>
        <v>72</v>
      </c>
      <c r="B73" s="8" t="s">
        <v>208</v>
      </c>
      <c r="C73" s="9" t="s">
        <v>249</v>
      </c>
      <c r="D73" s="10" t="s">
        <v>250</v>
      </c>
      <c r="E73" s="11" t="s">
        <v>23</v>
      </c>
      <c r="F73" s="11"/>
      <c r="G73" s="10" t="s">
        <v>69</v>
      </c>
      <c r="H73" s="10" t="s">
        <v>211</v>
      </c>
      <c r="I73" s="10"/>
      <c r="J73" s="10"/>
      <c r="K73" s="10"/>
      <c r="L73" s="12">
        <f>计价规则!$B$2+计价规则!$B$3*MAX(0,IF(H73="",0,LEN(H73)-LEN(SUBSTITUTE(H73,"、",""))+1)-(IF(ISNUMBER(SEARCH("WiFi通信模块",H73)),1,0)+IF(ISNUMBER(SEARCH("ESP8266 WiFi模块",H73)),1,0)+IF(ISNUMBER(SEARCH("NRF24L01无线通信模块",H73)),1,0)+IF(ISNUMBER(SEARCH("蓝牙模块",H73)),1,0)+IF(ISNUMBER(SEARCH("语音识别模块",H73)),1,0)+IF(ISNUMBER(SEARCH("语音播报模块",H73)),1,0)+IF(ISNUMBER(SEARCH("RFID模块",H73)),1,0)+IF(ISNUMBER(SEARCH("RFID读卡模块",H73)),1,0)+IF(ISNUMBER(SEARCH("GPS定位模块",H73)),1,0)+IF(ISNUMBER(SEARCH("GSM通信模块",H73)),1,0)+IF(ISNUMBER(SEARCH("摄像头模块",H73)),1,0)+IF(ISNUMBER(SEARCH("人脸识别模块",H73)),1,0)+IF(ISNUMBER(SEARCH("手势识别传感器",H73)),1,0)))</f>
        <v>105</v>
      </c>
      <c r="M73" s="12">
        <f>计价规则!$B$4+计价规则!$B$5*IF(H73="",0,LEN(H73)-LEN(SUBSTITUTE(H73,"、",""))+1)</f>
        <v>110</v>
      </c>
      <c r="N73" s="12"/>
      <c r="O73" s="12">
        <f>计价规则!$B$6</f>
        <v>100</v>
      </c>
      <c r="P73" s="12">
        <f>计价规则!$B$6</f>
        <v>100</v>
      </c>
      <c r="Q73" s="12">
        <f>计价规则!$B$6</f>
        <v>100</v>
      </c>
      <c r="R73" s="12">
        <f>计价规则!$B$7</f>
        <v>400</v>
      </c>
      <c r="S73" s="8" t="s">
        <v>26</v>
      </c>
      <c r="T73" s="13">
        <v>72</v>
      </c>
    </row>
    <row r="74" ht="26" customHeight="1" spans="1:20">
      <c r="A74" s="8">
        <f t="shared" si="1"/>
        <v>73</v>
      </c>
      <c r="B74" s="8" t="s">
        <v>208</v>
      </c>
      <c r="C74" s="9" t="s">
        <v>251</v>
      </c>
      <c r="D74" s="10" t="s">
        <v>252</v>
      </c>
      <c r="E74" s="11" t="s">
        <v>23</v>
      </c>
      <c r="F74" s="11"/>
      <c r="G74" s="10" t="s">
        <v>69</v>
      </c>
      <c r="H74" s="10" t="s">
        <v>211</v>
      </c>
      <c r="I74" s="10"/>
      <c r="J74" s="10"/>
      <c r="K74" s="10"/>
      <c r="L74" s="12">
        <f>计价规则!$B$2+计价规则!$B$3*MAX(0,IF(H74="",0,LEN(H74)-LEN(SUBSTITUTE(H74,"、",""))+1)-(IF(ISNUMBER(SEARCH("WiFi通信模块",H74)),1,0)+IF(ISNUMBER(SEARCH("ESP8266 WiFi模块",H74)),1,0)+IF(ISNUMBER(SEARCH("NRF24L01无线通信模块",H74)),1,0)+IF(ISNUMBER(SEARCH("蓝牙模块",H74)),1,0)+IF(ISNUMBER(SEARCH("语音识别模块",H74)),1,0)+IF(ISNUMBER(SEARCH("语音播报模块",H74)),1,0)+IF(ISNUMBER(SEARCH("RFID模块",H74)),1,0)+IF(ISNUMBER(SEARCH("RFID读卡模块",H74)),1,0)+IF(ISNUMBER(SEARCH("GPS定位模块",H74)),1,0)+IF(ISNUMBER(SEARCH("GSM通信模块",H74)),1,0)+IF(ISNUMBER(SEARCH("摄像头模块",H74)),1,0)+IF(ISNUMBER(SEARCH("人脸识别模块",H74)),1,0)+IF(ISNUMBER(SEARCH("手势识别传感器",H74)),1,0)))</f>
        <v>105</v>
      </c>
      <c r="M74" s="12">
        <f>计价规则!$B$4+计价规则!$B$5*IF(H74="",0,LEN(H74)-LEN(SUBSTITUTE(H74,"、",""))+1)</f>
        <v>110</v>
      </c>
      <c r="N74" s="12"/>
      <c r="O74" s="12">
        <f>计价规则!$B$6</f>
        <v>100</v>
      </c>
      <c r="P74" s="12">
        <f>计价规则!$B$6</f>
        <v>100</v>
      </c>
      <c r="Q74" s="12">
        <f>计价规则!$B$6</f>
        <v>100</v>
      </c>
      <c r="R74" s="12">
        <f>计价规则!$B$7</f>
        <v>400</v>
      </c>
      <c r="S74" s="8" t="s">
        <v>26</v>
      </c>
      <c r="T74" s="13">
        <v>73</v>
      </c>
    </row>
    <row r="75" ht="26" customHeight="1" spans="1:20">
      <c r="A75" s="8">
        <f t="shared" si="1"/>
        <v>74</v>
      </c>
      <c r="B75" s="8" t="s">
        <v>208</v>
      </c>
      <c r="C75" s="9" t="s">
        <v>253</v>
      </c>
      <c r="D75" s="10" t="s">
        <v>254</v>
      </c>
      <c r="E75" s="11" t="s">
        <v>23</v>
      </c>
      <c r="F75" s="11"/>
      <c r="G75" s="10" t="s">
        <v>69</v>
      </c>
      <c r="H75" s="10" t="s">
        <v>214</v>
      </c>
      <c r="I75" s="10"/>
      <c r="J75" s="10"/>
      <c r="K75" s="10"/>
      <c r="L75" s="12">
        <f>计价规则!$B$2+计价规则!$B$3*MAX(0,IF(H75="",0,LEN(H75)-LEN(SUBSTITUTE(H75,"、",""))+1)-(IF(ISNUMBER(SEARCH("WiFi通信模块",H75)),1,0)+IF(ISNUMBER(SEARCH("ESP8266 WiFi模块",H75)),1,0)+IF(ISNUMBER(SEARCH("NRF24L01无线通信模块",H75)),1,0)+IF(ISNUMBER(SEARCH("蓝牙模块",H75)),1,0)+IF(ISNUMBER(SEARCH("语音识别模块",H75)),1,0)+IF(ISNUMBER(SEARCH("语音播报模块",H75)),1,0)+IF(ISNUMBER(SEARCH("RFID模块",H75)),1,0)+IF(ISNUMBER(SEARCH("RFID读卡模块",H75)),1,0)+IF(ISNUMBER(SEARCH("GPS定位模块",H75)),1,0)+IF(ISNUMBER(SEARCH("GSM通信模块",H75)),1,0)+IF(ISNUMBER(SEARCH("摄像头模块",H75)),1,0)+IF(ISNUMBER(SEARCH("人脸识别模块",H75)),1,0)+IF(ISNUMBER(SEARCH("手势识别传感器",H75)),1,0)))</f>
        <v>90</v>
      </c>
      <c r="M75" s="12">
        <f>计价规则!$B$4+计价规则!$B$5*IF(H75="",0,LEN(H75)-LEN(SUBSTITUTE(H75,"、",""))+1)</f>
        <v>90</v>
      </c>
      <c r="N75" s="12"/>
      <c r="O75" s="12">
        <f>计价规则!$B$6</f>
        <v>100</v>
      </c>
      <c r="P75" s="12">
        <f>计价规则!$B$6</f>
        <v>100</v>
      </c>
      <c r="Q75" s="12">
        <f>计价规则!$B$6</f>
        <v>100</v>
      </c>
      <c r="R75" s="12">
        <f>计价规则!$B$7</f>
        <v>400</v>
      </c>
      <c r="S75" s="8" t="s">
        <v>26</v>
      </c>
      <c r="T75" s="13">
        <v>74</v>
      </c>
    </row>
    <row r="76" ht="26" customHeight="1" spans="1:20">
      <c r="A76" s="8">
        <f t="shared" si="1"/>
        <v>75</v>
      </c>
      <c r="B76" s="8" t="s">
        <v>208</v>
      </c>
      <c r="C76" s="9" t="s">
        <v>255</v>
      </c>
      <c r="D76" s="10" t="s">
        <v>256</v>
      </c>
      <c r="E76" s="11" t="s">
        <v>23</v>
      </c>
      <c r="F76" s="11"/>
      <c r="G76" s="10" t="s">
        <v>69</v>
      </c>
      <c r="H76" s="10" t="s">
        <v>257</v>
      </c>
      <c r="I76" s="10"/>
      <c r="J76" s="10"/>
      <c r="K76" s="10"/>
      <c r="L76" s="12">
        <f>计价规则!$B$2+计价规则!$B$3*MAX(0,IF(H76="",0,LEN(H76)-LEN(SUBSTITUTE(H76,"、",""))+1)-(IF(ISNUMBER(SEARCH("WiFi通信模块",H76)),1,0)+IF(ISNUMBER(SEARCH("ESP8266 WiFi模块",H76)),1,0)+IF(ISNUMBER(SEARCH("NRF24L01无线通信模块",H76)),1,0)+IF(ISNUMBER(SEARCH("蓝牙模块",H76)),1,0)+IF(ISNUMBER(SEARCH("语音识别模块",H76)),1,0)+IF(ISNUMBER(SEARCH("语音播报模块",H76)),1,0)+IF(ISNUMBER(SEARCH("RFID模块",H76)),1,0)+IF(ISNUMBER(SEARCH("RFID读卡模块",H76)),1,0)+IF(ISNUMBER(SEARCH("GPS定位模块",H76)),1,0)+IF(ISNUMBER(SEARCH("GSM通信模块",H76)),1,0)+IF(ISNUMBER(SEARCH("摄像头模块",H76)),1,0)+IF(ISNUMBER(SEARCH("人脸识别模块",H76)),1,0)+IF(ISNUMBER(SEARCH("手势识别传感器",H76)),1,0)))</f>
        <v>135</v>
      </c>
      <c r="M76" s="12">
        <f>计价规则!$B$4+计价规则!$B$5*IF(H76="",0,LEN(H76)-LEN(SUBSTITUTE(H76,"、",""))+1)</f>
        <v>150</v>
      </c>
      <c r="N76" s="12"/>
      <c r="O76" s="12">
        <f>计价规则!$B$6</f>
        <v>100</v>
      </c>
      <c r="P76" s="12">
        <f>计价规则!$B$6</f>
        <v>100</v>
      </c>
      <c r="Q76" s="12">
        <f>计价规则!$B$6</f>
        <v>100</v>
      </c>
      <c r="R76" s="12">
        <f>计价规则!$B$7</f>
        <v>400</v>
      </c>
      <c r="S76" s="8" t="s">
        <v>26</v>
      </c>
      <c r="T76" s="13">
        <v>75</v>
      </c>
    </row>
    <row r="77" ht="26" customHeight="1" spans="1:20">
      <c r="A77" s="8">
        <f t="shared" si="1"/>
        <v>76</v>
      </c>
      <c r="B77" s="8" t="s">
        <v>208</v>
      </c>
      <c r="C77" s="9" t="s">
        <v>258</v>
      </c>
      <c r="D77" s="10" t="s">
        <v>259</v>
      </c>
      <c r="E77" s="11" t="s">
        <v>23</v>
      </c>
      <c r="F77" s="11"/>
      <c r="G77" s="10" t="s">
        <v>69</v>
      </c>
      <c r="H77" s="10" t="s">
        <v>207</v>
      </c>
      <c r="I77" s="10"/>
      <c r="J77" s="10"/>
      <c r="K77" s="10"/>
      <c r="L77" s="12">
        <f>计价规则!$B$2+计价规则!$B$3*MAX(0,IF(H77="",0,LEN(H77)-LEN(SUBSTITUTE(H77,"、",""))+1)-(IF(ISNUMBER(SEARCH("WiFi通信模块",H77)),1,0)+IF(ISNUMBER(SEARCH("ESP8266 WiFi模块",H77)),1,0)+IF(ISNUMBER(SEARCH("NRF24L01无线通信模块",H77)),1,0)+IF(ISNUMBER(SEARCH("蓝牙模块",H77)),1,0)+IF(ISNUMBER(SEARCH("语音识别模块",H77)),1,0)+IF(ISNUMBER(SEARCH("语音播报模块",H77)),1,0)+IF(ISNUMBER(SEARCH("RFID模块",H77)),1,0)+IF(ISNUMBER(SEARCH("RFID读卡模块",H77)),1,0)+IF(ISNUMBER(SEARCH("GPS定位模块",H77)),1,0)+IF(ISNUMBER(SEARCH("GSM通信模块",H77)),1,0)+IF(ISNUMBER(SEARCH("摄像头模块",H77)),1,0)+IF(ISNUMBER(SEARCH("人脸识别模块",H77)),1,0)+IF(ISNUMBER(SEARCH("手势识别传感器",H77)),1,0)))</f>
        <v>105</v>
      </c>
      <c r="M77" s="12">
        <f>计价规则!$B$4+计价规则!$B$5*IF(H77="",0,LEN(H77)-LEN(SUBSTITUTE(H77,"、",""))+1)</f>
        <v>110</v>
      </c>
      <c r="N77" s="12"/>
      <c r="O77" s="12">
        <f>计价规则!$B$6</f>
        <v>100</v>
      </c>
      <c r="P77" s="12">
        <f>计价规则!$B$6</f>
        <v>100</v>
      </c>
      <c r="Q77" s="12">
        <f>计价规则!$B$6</f>
        <v>100</v>
      </c>
      <c r="R77" s="12">
        <f>计价规则!$B$7</f>
        <v>400</v>
      </c>
      <c r="S77" s="8" t="s">
        <v>26</v>
      </c>
      <c r="T77" s="13">
        <v>76</v>
      </c>
    </row>
    <row r="78" ht="26" customHeight="1" spans="1:20">
      <c r="A78" s="8">
        <f t="shared" si="1"/>
        <v>77</v>
      </c>
      <c r="B78" s="8" t="s">
        <v>208</v>
      </c>
      <c r="C78" s="9" t="s">
        <v>260</v>
      </c>
      <c r="D78" s="10" t="s">
        <v>261</v>
      </c>
      <c r="E78" s="11" t="s">
        <v>23</v>
      </c>
      <c r="F78" s="11"/>
      <c r="G78" s="10" t="s">
        <v>69</v>
      </c>
      <c r="H78" s="10" t="s">
        <v>262</v>
      </c>
      <c r="I78" s="10"/>
      <c r="J78" s="10"/>
      <c r="K78" s="10"/>
      <c r="L78" s="12">
        <f>计价规则!$B$2+计价规则!$B$3*MAX(0,IF(H78="",0,LEN(H78)-LEN(SUBSTITUTE(H78,"、",""))+1)-(IF(ISNUMBER(SEARCH("WiFi通信模块",H78)),1,0)+IF(ISNUMBER(SEARCH("ESP8266 WiFi模块",H78)),1,0)+IF(ISNUMBER(SEARCH("NRF24L01无线通信模块",H78)),1,0)+IF(ISNUMBER(SEARCH("蓝牙模块",H78)),1,0)+IF(ISNUMBER(SEARCH("语音识别模块",H78)),1,0)+IF(ISNUMBER(SEARCH("语音播报模块",H78)),1,0)+IF(ISNUMBER(SEARCH("RFID模块",H78)),1,0)+IF(ISNUMBER(SEARCH("RFID读卡模块",H78)),1,0)+IF(ISNUMBER(SEARCH("GPS定位模块",H78)),1,0)+IF(ISNUMBER(SEARCH("GSM通信模块",H78)),1,0)+IF(ISNUMBER(SEARCH("摄像头模块",H78)),1,0)+IF(ISNUMBER(SEARCH("人脸识别模块",H78)),1,0)+IF(ISNUMBER(SEARCH("手势识别传感器",H78)),1,0)))</f>
        <v>105</v>
      </c>
      <c r="M78" s="12">
        <f>计价规则!$B$4+计价规则!$B$5*IF(H78="",0,LEN(H78)-LEN(SUBSTITUTE(H78,"、",""))+1)</f>
        <v>110</v>
      </c>
      <c r="N78" s="12"/>
      <c r="O78" s="12">
        <f>计价规则!$B$6</f>
        <v>100</v>
      </c>
      <c r="P78" s="12">
        <f>计价规则!$B$6</f>
        <v>100</v>
      </c>
      <c r="Q78" s="12">
        <f>计价规则!$B$6</f>
        <v>100</v>
      </c>
      <c r="R78" s="12">
        <f>计价规则!$B$7</f>
        <v>400</v>
      </c>
      <c r="S78" s="8" t="s">
        <v>26</v>
      </c>
      <c r="T78" s="13">
        <v>77</v>
      </c>
    </row>
    <row r="79" ht="26" customHeight="1" spans="1:20">
      <c r="A79" s="8">
        <f t="shared" si="1"/>
        <v>78</v>
      </c>
      <c r="B79" s="8" t="s">
        <v>208</v>
      </c>
      <c r="C79" s="9" t="s">
        <v>263</v>
      </c>
      <c r="D79" s="10" t="s">
        <v>264</v>
      </c>
      <c r="E79" s="11" t="s">
        <v>23</v>
      </c>
      <c r="F79" s="11"/>
      <c r="G79" s="10" t="s">
        <v>69</v>
      </c>
      <c r="H79" s="10" t="s">
        <v>265</v>
      </c>
      <c r="I79" s="10"/>
      <c r="J79" s="10"/>
      <c r="K79" s="10"/>
      <c r="L79" s="12">
        <f>计价规则!$B$2+计价规则!$B$3*MAX(0,IF(H79="",0,LEN(H79)-LEN(SUBSTITUTE(H79,"、",""))+1)-(IF(ISNUMBER(SEARCH("WiFi通信模块",H79)),1,0)+IF(ISNUMBER(SEARCH("ESP8266 WiFi模块",H79)),1,0)+IF(ISNUMBER(SEARCH("NRF24L01无线通信模块",H79)),1,0)+IF(ISNUMBER(SEARCH("蓝牙模块",H79)),1,0)+IF(ISNUMBER(SEARCH("语音识别模块",H79)),1,0)+IF(ISNUMBER(SEARCH("语音播报模块",H79)),1,0)+IF(ISNUMBER(SEARCH("RFID模块",H79)),1,0)+IF(ISNUMBER(SEARCH("RFID读卡模块",H79)),1,0)+IF(ISNUMBER(SEARCH("GPS定位模块",H79)),1,0)+IF(ISNUMBER(SEARCH("GSM通信模块",H79)),1,0)+IF(ISNUMBER(SEARCH("摄像头模块",H79)),1,0)+IF(ISNUMBER(SEARCH("人脸识别模块",H79)),1,0)+IF(ISNUMBER(SEARCH("手势识别传感器",H79)),1,0)))</f>
        <v>120</v>
      </c>
      <c r="M79" s="12">
        <f>计价规则!$B$4+计价规则!$B$5*IF(H79="",0,LEN(H79)-LEN(SUBSTITUTE(H79,"、",""))+1)</f>
        <v>130</v>
      </c>
      <c r="N79" s="12"/>
      <c r="O79" s="12">
        <f>计价规则!$B$6</f>
        <v>100</v>
      </c>
      <c r="P79" s="12">
        <f>计价规则!$B$6</f>
        <v>100</v>
      </c>
      <c r="Q79" s="12">
        <f>计价规则!$B$6</f>
        <v>100</v>
      </c>
      <c r="R79" s="12">
        <f>计价规则!$B$7</f>
        <v>400</v>
      </c>
      <c r="S79" s="8" t="s">
        <v>26</v>
      </c>
      <c r="T79" s="13">
        <v>78</v>
      </c>
    </row>
    <row r="80" ht="26" customHeight="1" spans="1:20">
      <c r="A80" s="8">
        <f t="shared" si="1"/>
        <v>79</v>
      </c>
      <c r="B80" s="8" t="s">
        <v>208</v>
      </c>
      <c r="C80" s="9" t="s">
        <v>266</v>
      </c>
      <c r="D80" s="10" t="s">
        <v>267</v>
      </c>
      <c r="E80" s="11" t="s">
        <v>23</v>
      </c>
      <c r="F80" s="11"/>
      <c r="G80" s="10" t="s">
        <v>69</v>
      </c>
      <c r="H80" s="10" t="s">
        <v>265</v>
      </c>
      <c r="I80" s="10"/>
      <c r="J80" s="10"/>
      <c r="K80" s="10"/>
      <c r="L80" s="12">
        <f>计价规则!$B$2+计价规则!$B$3*MAX(0,IF(H80="",0,LEN(H80)-LEN(SUBSTITUTE(H80,"、",""))+1)-(IF(ISNUMBER(SEARCH("WiFi通信模块",H80)),1,0)+IF(ISNUMBER(SEARCH("ESP8266 WiFi模块",H80)),1,0)+IF(ISNUMBER(SEARCH("NRF24L01无线通信模块",H80)),1,0)+IF(ISNUMBER(SEARCH("蓝牙模块",H80)),1,0)+IF(ISNUMBER(SEARCH("语音识别模块",H80)),1,0)+IF(ISNUMBER(SEARCH("语音播报模块",H80)),1,0)+IF(ISNUMBER(SEARCH("RFID模块",H80)),1,0)+IF(ISNUMBER(SEARCH("RFID读卡模块",H80)),1,0)+IF(ISNUMBER(SEARCH("GPS定位模块",H80)),1,0)+IF(ISNUMBER(SEARCH("GSM通信模块",H80)),1,0)+IF(ISNUMBER(SEARCH("摄像头模块",H80)),1,0)+IF(ISNUMBER(SEARCH("人脸识别模块",H80)),1,0)+IF(ISNUMBER(SEARCH("手势识别传感器",H80)),1,0)))</f>
        <v>120</v>
      </c>
      <c r="M80" s="12">
        <f>计价规则!$B$4+计价规则!$B$5*IF(H80="",0,LEN(H80)-LEN(SUBSTITUTE(H80,"、",""))+1)</f>
        <v>130</v>
      </c>
      <c r="N80" s="12"/>
      <c r="O80" s="12">
        <f>计价规则!$B$6</f>
        <v>100</v>
      </c>
      <c r="P80" s="12">
        <f>计价规则!$B$6</f>
        <v>100</v>
      </c>
      <c r="Q80" s="12">
        <f>计价规则!$B$6</f>
        <v>100</v>
      </c>
      <c r="R80" s="12">
        <f>计价规则!$B$7</f>
        <v>400</v>
      </c>
      <c r="S80" s="8" t="s">
        <v>26</v>
      </c>
      <c r="T80" s="13">
        <v>79</v>
      </c>
    </row>
    <row r="81" ht="26" customHeight="1" spans="1:20">
      <c r="A81" s="8">
        <f t="shared" si="1"/>
        <v>80</v>
      </c>
      <c r="B81" s="8" t="s">
        <v>208</v>
      </c>
      <c r="C81" s="9" t="s">
        <v>268</v>
      </c>
      <c r="D81" s="10" t="s">
        <v>269</v>
      </c>
      <c r="E81" s="11" t="s">
        <v>23</v>
      </c>
      <c r="F81" s="11"/>
      <c r="G81" s="10" t="s">
        <v>69</v>
      </c>
      <c r="H81" s="10" t="s">
        <v>214</v>
      </c>
      <c r="I81" s="10"/>
      <c r="J81" s="10"/>
      <c r="K81" s="10"/>
      <c r="L81" s="12">
        <f>计价规则!$B$2+计价规则!$B$3*MAX(0,IF(H81="",0,LEN(H81)-LEN(SUBSTITUTE(H81,"、",""))+1)-(IF(ISNUMBER(SEARCH("WiFi通信模块",H81)),1,0)+IF(ISNUMBER(SEARCH("ESP8266 WiFi模块",H81)),1,0)+IF(ISNUMBER(SEARCH("NRF24L01无线通信模块",H81)),1,0)+IF(ISNUMBER(SEARCH("蓝牙模块",H81)),1,0)+IF(ISNUMBER(SEARCH("语音识别模块",H81)),1,0)+IF(ISNUMBER(SEARCH("语音播报模块",H81)),1,0)+IF(ISNUMBER(SEARCH("RFID模块",H81)),1,0)+IF(ISNUMBER(SEARCH("RFID读卡模块",H81)),1,0)+IF(ISNUMBER(SEARCH("GPS定位模块",H81)),1,0)+IF(ISNUMBER(SEARCH("GSM通信模块",H81)),1,0)+IF(ISNUMBER(SEARCH("摄像头模块",H81)),1,0)+IF(ISNUMBER(SEARCH("人脸识别模块",H81)),1,0)+IF(ISNUMBER(SEARCH("手势识别传感器",H81)),1,0)))</f>
        <v>90</v>
      </c>
      <c r="M81" s="12">
        <f>计价规则!$B$4+计价规则!$B$5*IF(H81="",0,LEN(H81)-LEN(SUBSTITUTE(H81,"、",""))+1)</f>
        <v>90</v>
      </c>
      <c r="N81" s="12"/>
      <c r="O81" s="12">
        <f>计价规则!$B$6</f>
        <v>100</v>
      </c>
      <c r="P81" s="12">
        <f>计价规则!$B$6</f>
        <v>100</v>
      </c>
      <c r="Q81" s="12">
        <f>计价规则!$B$6</f>
        <v>100</v>
      </c>
      <c r="R81" s="12">
        <f>计价规则!$B$7</f>
        <v>400</v>
      </c>
      <c r="S81" s="8" t="s">
        <v>26</v>
      </c>
      <c r="T81" s="13">
        <v>80</v>
      </c>
    </row>
    <row r="82" ht="26" customHeight="1" spans="1:20">
      <c r="A82" s="8">
        <f t="shared" si="1"/>
        <v>81</v>
      </c>
      <c r="B82" s="8" t="s">
        <v>208</v>
      </c>
      <c r="C82" s="9" t="s">
        <v>270</v>
      </c>
      <c r="D82" s="10" t="s">
        <v>271</v>
      </c>
      <c r="E82" s="11" t="s">
        <v>23</v>
      </c>
      <c r="F82" s="11"/>
      <c r="G82" s="10" t="s">
        <v>69</v>
      </c>
      <c r="H82" s="10" t="s">
        <v>214</v>
      </c>
      <c r="I82" s="10"/>
      <c r="J82" s="10"/>
      <c r="K82" s="10"/>
      <c r="L82" s="12">
        <f>计价规则!$B$2+计价规则!$B$3*MAX(0,IF(H82="",0,LEN(H82)-LEN(SUBSTITUTE(H82,"、",""))+1)-(IF(ISNUMBER(SEARCH("WiFi通信模块",H82)),1,0)+IF(ISNUMBER(SEARCH("ESP8266 WiFi模块",H82)),1,0)+IF(ISNUMBER(SEARCH("NRF24L01无线通信模块",H82)),1,0)+IF(ISNUMBER(SEARCH("蓝牙模块",H82)),1,0)+IF(ISNUMBER(SEARCH("语音识别模块",H82)),1,0)+IF(ISNUMBER(SEARCH("语音播报模块",H82)),1,0)+IF(ISNUMBER(SEARCH("RFID模块",H82)),1,0)+IF(ISNUMBER(SEARCH("RFID读卡模块",H82)),1,0)+IF(ISNUMBER(SEARCH("GPS定位模块",H82)),1,0)+IF(ISNUMBER(SEARCH("GSM通信模块",H82)),1,0)+IF(ISNUMBER(SEARCH("摄像头模块",H82)),1,0)+IF(ISNUMBER(SEARCH("人脸识别模块",H82)),1,0)+IF(ISNUMBER(SEARCH("手势识别传感器",H82)),1,0)))</f>
        <v>90</v>
      </c>
      <c r="M82" s="12">
        <f>计价规则!$B$4+计价规则!$B$5*IF(H82="",0,LEN(H82)-LEN(SUBSTITUTE(H82,"、",""))+1)</f>
        <v>90</v>
      </c>
      <c r="N82" s="12"/>
      <c r="O82" s="12">
        <f>计价规则!$B$6</f>
        <v>100</v>
      </c>
      <c r="P82" s="12">
        <f>计价规则!$B$6</f>
        <v>100</v>
      </c>
      <c r="Q82" s="12">
        <f>计价规则!$B$6</f>
        <v>100</v>
      </c>
      <c r="R82" s="12">
        <f>计价规则!$B$7</f>
        <v>400</v>
      </c>
      <c r="S82" s="8" t="s">
        <v>26</v>
      </c>
      <c r="T82" s="13">
        <v>81</v>
      </c>
    </row>
    <row r="83" ht="26" customHeight="1" spans="1:20">
      <c r="A83" s="8">
        <f t="shared" si="1"/>
        <v>82</v>
      </c>
      <c r="B83" s="8" t="s">
        <v>208</v>
      </c>
      <c r="C83" s="9" t="s">
        <v>272</v>
      </c>
      <c r="D83" s="10" t="s">
        <v>273</v>
      </c>
      <c r="E83" s="11" t="s">
        <v>23</v>
      </c>
      <c r="F83" s="11"/>
      <c r="G83" s="10" t="s">
        <v>69</v>
      </c>
      <c r="H83" s="10" t="s">
        <v>214</v>
      </c>
      <c r="I83" s="10"/>
      <c r="J83" s="10"/>
      <c r="K83" s="10"/>
      <c r="L83" s="12">
        <f>计价规则!$B$2+计价规则!$B$3*MAX(0,IF(H83="",0,LEN(H83)-LEN(SUBSTITUTE(H83,"、",""))+1)-(IF(ISNUMBER(SEARCH("WiFi通信模块",H83)),1,0)+IF(ISNUMBER(SEARCH("ESP8266 WiFi模块",H83)),1,0)+IF(ISNUMBER(SEARCH("NRF24L01无线通信模块",H83)),1,0)+IF(ISNUMBER(SEARCH("蓝牙模块",H83)),1,0)+IF(ISNUMBER(SEARCH("语音识别模块",H83)),1,0)+IF(ISNUMBER(SEARCH("语音播报模块",H83)),1,0)+IF(ISNUMBER(SEARCH("RFID模块",H83)),1,0)+IF(ISNUMBER(SEARCH("RFID读卡模块",H83)),1,0)+IF(ISNUMBER(SEARCH("GPS定位模块",H83)),1,0)+IF(ISNUMBER(SEARCH("GSM通信模块",H83)),1,0)+IF(ISNUMBER(SEARCH("摄像头模块",H83)),1,0)+IF(ISNUMBER(SEARCH("人脸识别模块",H83)),1,0)+IF(ISNUMBER(SEARCH("手势识别传感器",H83)),1,0)))</f>
        <v>90</v>
      </c>
      <c r="M83" s="12">
        <f>计价规则!$B$4+计价规则!$B$5*IF(H83="",0,LEN(H83)-LEN(SUBSTITUTE(H83,"、",""))+1)</f>
        <v>90</v>
      </c>
      <c r="N83" s="12"/>
      <c r="O83" s="12">
        <f>计价规则!$B$6</f>
        <v>100</v>
      </c>
      <c r="P83" s="12">
        <f>计价规则!$B$6</f>
        <v>100</v>
      </c>
      <c r="Q83" s="12">
        <f>计价规则!$B$6</f>
        <v>100</v>
      </c>
      <c r="R83" s="12">
        <f>计价规则!$B$7</f>
        <v>400</v>
      </c>
      <c r="S83" s="8" t="s">
        <v>26</v>
      </c>
      <c r="T83" s="13">
        <v>82</v>
      </c>
    </row>
    <row r="84" ht="26" customHeight="1" spans="1:20">
      <c r="A84" s="8">
        <f t="shared" si="1"/>
        <v>83</v>
      </c>
      <c r="B84" s="8" t="s">
        <v>208</v>
      </c>
      <c r="C84" s="9" t="s">
        <v>274</v>
      </c>
      <c r="D84" s="10" t="s">
        <v>275</v>
      </c>
      <c r="E84" s="11" t="s">
        <v>23</v>
      </c>
      <c r="F84" s="11"/>
      <c r="G84" s="10" t="s">
        <v>69</v>
      </c>
      <c r="H84" s="10" t="s">
        <v>214</v>
      </c>
      <c r="I84" s="10"/>
      <c r="J84" s="10"/>
      <c r="K84" s="10"/>
      <c r="L84" s="12">
        <f>计价规则!$B$2+计价规则!$B$3*MAX(0,IF(H84="",0,LEN(H84)-LEN(SUBSTITUTE(H84,"、",""))+1)-(IF(ISNUMBER(SEARCH("WiFi通信模块",H84)),1,0)+IF(ISNUMBER(SEARCH("ESP8266 WiFi模块",H84)),1,0)+IF(ISNUMBER(SEARCH("NRF24L01无线通信模块",H84)),1,0)+IF(ISNUMBER(SEARCH("蓝牙模块",H84)),1,0)+IF(ISNUMBER(SEARCH("语音识别模块",H84)),1,0)+IF(ISNUMBER(SEARCH("语音播报模块",H84)),1,0)+IF(ISNUMBER(SEARCH("RFID模块",H84)),1,0)+IF(ISNUMBER(SEARCH("RFID读卡模块",H84)),1,0)+IF(ISNUMBER(SEARCH("GPS定位模块",H84)),1,0)+IF(ISNUMBER(SEARCH("GSM通信模块",H84)),1,0)+IF(ISNUMBER(SEARCH("摄像头模块",H84)),1,0)+IF(ISNUMBER(SEARCH("人脸识别模块",H84)),1,0)+IF(ISNUMBER(SEARCH("手势识别传感器",H84)),1,0)))</f>
        <v>90</v>
      </c>
      <c r="M84" s="12">
        <f>计价规则!$B$4+计价规则!$B$5*IF(H84="",0,LEN(H84)-LEN(SUBSTITUTE(H84,"、",""))+1)</f>
        <v>90</v>
      </c>
      <c r="N84" s="12"/>
      <c r="O84" s="12">
        <f>计价规则!$B$6</f>
        <v>100</v>
      </c>
      <c r="P84" s="12">
        <f>计价规则!$B$6</f>
        <v>100</v>
      </c>
      <c r="Q84" s="12">
        <f>计价规则!$B$6</f>
        <v>100</v>
      </c>
      <c r="R84" s="12">
        <f>计价规则!$B$7</f>
        <v>400</v>
      </c>
      <c r="S84" s="8" t="s">
        <v>26</v>
      </c>
      <c r="T84" s="13">
        <v>83</v>
      </c>
    </row>
    <row r="85" ht="26" customHeight="1" spans="1:20">
      <c r="A85" s="8">
        <f t="shared" si="1"/>
        <v>84</v>
      </c>
      <c r="B85" s="8" t="s">
        <v>208</v>
      </c>
      <c r="C85" s="9" t="s">
        <v>276</v>
      </c>
      <c r="D85" s="10" t="s">
        <v>277</v>
      </c>
      <c r="E85" s="11" t="s">
        <v>23</v>
      </c>
      <c r="F85" s="11"/>
      <c r="G85" s="10" t="s">
        <v>69</v>
      </c>
      <c r="H85" s="10" t="s">
        <v>217</v>
      </c>
      <c r="I85" s="10"/>
      <c r="J85" s="10"/>
      <c r="K85" s="10"/>
      <c r="L85" s="12">
        <f>计价规则!$B$2+计价规则!$B$3*MAX(0,IF(H85="",0,LEN(H85)-LEN(SUBSTITUTE(H85,"、",""))+1)-(IF(ISNUMBER(SEARCH("WiFi通信模块",H85)),1,0)+IF(ISNUMBER(SEARCH("ESP8266 WiFi模块",H85)),1,0)+IF(ISNUMBER(SEARCH("NRF24L01无线通信模块",H85)),1,0)+IF(ISNUMBER(SEARCH("蓝牙模块",H85)),1,0)+IF(ISNUMBER(SEARCH("语音识别模块",H85)),1,0)+IF(ISNUMBER(SEARCH("语音播报模块",H85)),1,0)+IF(ISNUMBER(SEARCH("RFID模块",H85)),1,0)+IF(ISNUMBER(SEARCH("RFID读卡模块",H85)),1,0)+IF(ISNUMBER(SEARCH("GPS定位模块",H85)),1,0)+IF(ISNUMBER(SEARCH("GSM通信模块",H85)),1,0)+IF(ISNUMBER(SEARCH("摄像头模块",H85)),1,0)+IF(ISNUMBER(SEARCH("人脸识别模块",H85)),1,0)+IF(ISNUMBER(SEARCH("手势识别传感器",H85)),1,0)))</f>
        <v>105</v>
      </c>
      <c r="M85" s="12">
        <f>计价规则!$B$4+计价规则!$B$5*IF(H85="",0,LEN(H85)-LEN(SUBSTITUTE(H85,"、",""))+1)</f>
        <v>110</v>
      </c>
      <c r="N85" s="12"/>
      <c r="O85" s="12">
        <f>计价规则!$B$6</f>
        <v>100</v>
      </c>
      <c r="P85" s="12">
        <f>计价规则!$B$6</f>
        <v>100</v>
      </c>
      <c r="Q85" s="12">
        <f>计价规则!$B$6</f>
        <v>100</v>
      </c>
      <c r="R85" s="12">
        <f>计价规则!$B$7</f>
        <v>400</v>
      </c>
      <c r="S85" s="8" t="s">
        <v>26</v>
      </c>
      <c r="T85" s="13">
        <v>84</v>
      </c>
    </row>
    <row r="86" ht="26" customHeight="1" spans="1:20">
      <c r="A86" s="8">
        <f t="shared" si="1"/>
        <v>85</v>
      </c>
      <c r="B86" s="8" t="s">
        <v>208</v>
      </c>
      <c r="C86" s="9" t="s">
        <v>278</v>
      </c>
      <c r="D86" s="10" t="s">
        <v>279</v>
      </c>
      <c r="E86" s="11" t="s">
        <v>23</v>
      </c>
      <c r="F86" s="11"/>
      <c r="G86" s="10" t="s">
        <v>69</v>
      </c>
      <c r="H86" s="10" t="s">
        <v>280</v>
      </c>
      <c r="I86" s="10"/>
      <c r="J86" s="10"/>
      <c r="K86" s="10"/>
      <c r="L86" s="12">
        <f>计价规则!$B$2+计价规则!$B$3*MAX(0,IF(H86="",0,LEN(H86)-LEN(SUBSTITUTE(H86,"、",""))+1)-(IF(ISNUMBER(SEARCH("WiFi通信模块",H86)),1,0)+IF(ISNUMBER(SEARCH("ESP8266 WiFi模块",H86)),1,0)+IF(ISNUMBER(SEARCH("NRF24L01无线通信模块",H86)),1,0)+IF(ISNUMBER(SEARCH("蓝牙模块",H86)),1,0)+IF(ISNUMBER(SEARCH("语音识别模块",H86)),1,0)+IF(ISNUMBER(SEARCH("语音播报模块",H86)),1,0)+IF(ISNUMBER(SEARCH("RFID模块",H86)),1,0)+IF(ISNUMBER(SEARCH("RFID读卡模块",H86)),1,0)+IF(ISNUMBER(SEARCH("GPS定位模块",H86)),1,0)+IF(ISNUMBER(SEARCH("GSM通信模块",H86)),1,0)+IF(ISNUMBER(SEARCH("摄像头模块",H86)),1,0)+IF(ISNUMBER(SEARCH("人脸识别模块",H86)),1,0)+IF(ISNUMBER(SEARCH("手势识别传感器",H86)),1,0)))</f>
        <v>120</v>
      </c>
      <c r="M86" s="12">
        <f>计价规则!$B$4+计价规则!$B$5*IF(H86="",0,LEN(H86)-LEN(SUBSTITUTE(H86,"、",""))+1)</f>
        <v>130</v>
      </c>
      <c r="N86" s="12"/>
      <c r="O86" s="12">
        <f>计价规则!$B$6</f>
        <v>100</v>
      </c>
      <c r="P86" s="12">
        <f>计价规则!$B$6</f>
        <v>100</v>
      </c>
      <c r="Q86" s="12">
        <f>计价规则!$B$6</f>
        <v>100</v>
      </c>
      <c r="R86" s="12">
        <f>计价规则!$B$7</f>
        <v>400</v>
      </c>
      <c r="S86" s="8" t="s">
        <v>26</v>
      </c>
      <c r="T86" s="13">
        <v>85</v>
      </c>
    </row>
    <row r="87" ht="26" customHeight="1" spans="1:20">
      <c r="A87" s="8">
        <f t="shared" si="1"/>
        <v>86</v>
      </c>
      <c r="B87" s="8" t="s">
        <v>208</v>
      </c>
      <c r="C87" s="9" t="s">
        <v>281</v>
      </c>
      <c r="D87" s="10" t="s">
        <v>282</v>
      </c>
      <c r="E87" s="11" t="s">
        <v>283</v>
      </c>
      <c r="F87" s="11"/>
      <c r="G87" s="10" t="s">
        <v>69</v>
      </c>
      <c r="H87" s="10" t="s">
        <v>211</v>
      </c>
      <c r="I87" s="10"/>
      <c r="J87" s="10"/>
      <c r="K87" s="10"/>
      <c r="L87" s="12">
        <f>计价规则!$B$2+计价规则!$B$3*MAX(0,IF(H87="",0,LEN(H87)-LEN(SUBSTITUTE(H87,"、",""))+1)-(IF(ISNUMBER(SEARCH("WiFi通信模块",H87)),1,0)+IF(ISNUMBER(SEARCH("ESP8266 WiFi模块",H87)),1,0)+IF(ISNUMBER(SEARCH("NRF24L01无线通信模块",H87)),1,0)+IF(ISNUMBER(SEARCH("蓝牙模块",H87)),1,0)+IF(ISNUMBER(SEARCH("语音识别模块",H87)),1,0)+IF(ISNUMBER(SEARCH("语音播报模块",H87)),1,0)+IF(ISNUMBER(SEARCH("RFID模块",H87)),1,0)+IF(ISNUMBER(SEARCH("RFID读卡模块",H87)),1,0)+IF(ISNUMBER(SEARCH("GPS定位模块",H87)),1,0)+IF(ISNUMBER(SEARCH("GSM通信模块",H87)),1,0)+IF(ISNUMBER(SEARCH("摄像头模块",H87)),1,0)+IF(ISNUMBER(SEARCH("人脸识别模块",H87)),1,0)+IF(ISNUMBER(SEARCH("手势识别传感器",H87)),1,0)))</f>
        <v>105</v>
      </c>
      <c r="M87" s="12">
        <f>计价规则!$B$4+计价规则!$B$5*IF(H87="",0,LEN(H87)-LEN(SUBSTITUTE(H87,"、",""))+1)</f>
        <v>110</v>
      </c>
      <c r="N87" s="12"/>
      <c r="O87" s="12">
        <f>计价规则!$B$6</f>
        <v>100</v>
      </c>
      <c r="P87" s="12">
        <f>计价规则!$B$6</f>
        <v>100</v>
      </c>
      <c r="Q87" s="12">
        <f>计价规则!$B$6</f>
        <v>100</v>
      </c>
      <c r="R87" s="12">
        <f>计价规则!$B$7</f>
        <v>400</v>
      </c>
      <c r="S87" s="8" t="s">
        <v>26</v>
      </c>
      <c r="T87" s="13">
        <v>86</v>
      </c>
    </row>
    <row r="88" ht="26" customHeight="1" spans="1:20">
      <c r="A88" s="8">
        <f t="shared" si="1"/>
        <v>87</v>
      </c>
      <c r="B88" s="8" t="s">
        <v>208</v>
      </c>
      <c r="C88" s="9" t="s">
        <v>284</v>
      </c>
      <c r="D88" s="10" t="s">
        <v>285</v>
      </c>
      <c r="E88" s="11" t="s">
        <v>283</v>
      </c>
      <c r="F88" s="11"/>
      <c r="G88" s="10" t="s">
        <v>69</v>
      </c>
      <c r="H88" s="10" t="s">
        <v>214</v>
      </c>
      <c r="I88" s="10"/>
      <c r="J88" s="10"/>
      <c r="K88" s="10"/>
      <c r="L88" s="12">
        <f>计价规则!$B$2+计价规则!$B$3*MAX(0,IF(H88="",0,LEN(H88)-LEN(SUBSTITUTE(H88,"、",""))+1)-(IF(ISNUMBER(SEARCH("WiFi通信模块",H88)),1,0)+IF(ISNUMBER(SEARCH("ESP8266 WiFi模块",H88)),1,0)+IF(ISNUMBER(SEARCH("NRF24L01无线通信模块",H88)),1,0)+IF(ISNUMBER(SEARCH("蓝牙模块",H88)),1,0)+IF(ISNUMBER(SEARCH("语音识别模块",H88)),1,0)+IF(ISNUMBER(SEARCH("语音播报模块",H88)),1,0)+IF(ISNUMBER(SEARCH("RFID模块",H88)),1,0)+IF(ISNUMBER(SEARCH("RFID读卡模块",H88)),1,0)+IF(ISNUMBER(SEARCH("GPS定位模块",H88)),1,0)+IF(ISNUMBER(SEARCH("GSM通信模块",H88)),1,0)+IF(ISNUMBER(SEARCH("摄像头模块",H88)),1,0)+IF(ISNUMBER(SEARCH("人脸识别模块",H88)),1,0)+IF(ISNUMBER(SEARCH("手势识别传感器",H88)),1,0)))</f>
        <v>90</v>
      </c>
      <c r="M88" s="12">
        <f>计价规则!$B$4+计价规则!$B$5*IF(H88="",0,LEN(H88)-LEN(SUBSTITUTE(H88,"、",""))+1)</f>
        <v>90</v>
      </c>
      <c r="N88" s="12"/>
      <c r="O88" s="12">
        <f>计价规则!$B$6</f>
        <v>100</v>
      </c>
      <c r="P88" s="12">
        <f>计价规则!$B$6</f>
        <v>100</v>
      </c>
      <c r="Q88" s="12">
        <f>计价规则!$B$6</f>
        <v>100</v>
      </c>
      <c r="R88" s="12">
        <f>计价规则!$B$7</f>
        <v>400</v>
      </c>
      <c r="S88" s="8" t="s">
        <v>26</v>
      </c>
      <c r="T88" s="13">
        <v>87</v>
      </c>
    </row>
    <row r="89" ht="26" customHeight="1" spans="1:20">
      <c r="A89" s="8">
        <f t="shared" si="1"/>
        <v>88</v>
      </c>
      <c r="B89" s="8" t="s">
        <v>208</v>
      </c>
      <c r="C89" s="9" t="s">
        <v>286</v>
      </c>
      <c r="D89" s="10" t="s">
        <v>287</v>
      </c>
      <c r="E89" s="11" t="s">
        <v>23</v>
      </c>
      <c r="F89" s="11" t="s">
        <v>288</v>
      </c>
      <c r="G89" s="10" t="s">
        <v>69</v>
      </c>
      <c r="H89" s="10" t="s">
        <v>217</v>
      </c>
      <c r="I89" s="10"/>
      <c r="J89" s="10"/>
      <c r="K89" s="10"/>
      <c r="L89" s="12">
        <f>计价规则!$B$2+计价规则!$B$3*MAX(0,IF(H89="",0,LEN(H89)-LEN(SUBSTITUTE(H89,"、",""))+1)-(IF(ISNUMBER(SEARCH("WiFi通信模块",H89)),1,0)+IF(ISNUMBER(SEARCH("ESP8266 WiFi模块",H89)),1,0)+IF(ISNUMBER(SEARCH("NRF24L01无线通信模块",H89)),1,0)+IF(ISNUMBER(SEARCH("蓝牙模块",H89)),1,0)+IF(ISNUMBER(SEARCH("语音识别模块",H89)),1,0)+IF(ISNUMBER(SEARCH("语音播报模块",H89)),1,0)+IF(ISNUMBER(SEARCH("RFID模块",H89)),1,0)+IF(ISNUMBER(SEARCH("RFID读卡模块",H89)),1,0)+IF(ISNUMBER(SEARCH("GPS定位模块",H89)),1,0)+IF(ISNUMBER(SEARCH("GSM通信模块",H89)),1,0)+IF(ISNUMBER(SEARCH("摄像头模块",H89)),1,0)+IF(ISNUMBER(SEARCH("人脸识别模块",H89)),1,0)+IF(ISNUMBER(SEARCH("手势识别传感器",H89)),1,0)))</f>
        <v>105</v>
      </c>
      <c r="M89" s="12">
        <f>计价规则!$B$4+计价规则!$B$5*IF(H89="",0,LEN(H89)-LEN(SUBSTITUTE(H89,"、",""))+1)</f>
        <v>110</v>
      </c>
      <c r="N89" s="12"/>
      <c r="O89" s="12">
        <f>计价规则!$B$6</f>
        <v>100</v>
      </c>
      <c r="P89" s="12">
        <f>计价规则!$B$6</f>
        <v>100</v>
      </c>
      <c r="Q89" s="12">
        <f>计价规则!$B$6</f>
        <v>100</v>
      </c>
      <c r="R89" s="12">
        <f>计价规则!$B$7</f>
        <v>400</v>
      </c>
      <c r="S89" s="8" t="s">
        <v>26</v>
      </c>
      <c r="T89" s="13">
        <v>88</v>
      </c>
    </row>
    <row r="90" ht="26" customHeight="1" spans="1:20">
      <c r="A90" s="8">
        <f t="shared" si="1"/>
        <v>89</v>
      </c>
      <c r="B90" s="8" t="s">
        <v>289</v>
      </c>
      <c r="C90" s="9" t="s">
        <v>290</v>
      </c>
      <c r="D90" s="10" t="s">
        <v>291</v>
      </c>
      <c r="E90" s="11" t="s">
        <v>23</v>
      </c>
      <c r="F90" s="11"/>
      <c r="G90" s="10" t="s">
        <v>54</v>
      </c>
      <c r="H90" s="10" t="s">
        <v>198</v>
      </c>
      <c r="I90" s="10"/>
      <c r="J90" s="10"/>
      <c r="K90" s="10"/>
      <c r="L90" s="12">
        <f>计价规则!$B$2+计价规则!$B$3*MAX(0,IF(H90="",0,LEN(H90)-LEN(SUBSTITUTE(H90,"、",""))+1)-(IF(ISNUMBER(SEARCH("WiFi通信模块",H90)),1,0)+IF(ISNUMBER(SEARCH("ESP8266 WiFi模块",H90)),1,0)+IF(ISNUMBER(SEARCH("NRF24L01无线通信模块",H90)),1,0)+IF(ISNUMBER(SEARCH("蓝牙模块",H90)),1,0)+IF(ISNUMBER(SEARCH("语音识别模块",H90)),1,0)+IF(ISNUMBER(SEARCH("语音播报模块",H90)),1,0)+IF(ISNUMBER(SEARCH("RFID模块",H90)),1,0)+IF(ISNUMBER(SEARCH("RFID读卡模块",H90)),1,0)+IF(ISNUMBER(SEARCH("GPS定位模块",H90)),1,0)+IF(ISNUMBER(SEARCH("GSM通信模块",H90)),1,0)+IF(ISNUMBER(SEARCH("摄像头模块",H90)),1,0)+IF(ISNUMBER(SEARCH("人脸识别模块",H90)),1,0)+IF(ISNUMBER(SEARCH("手势识别传感器",H90)),1,0)))</f>
        <v>90</v>
      </c>
      <c r="M90" s="12">
        <f>计价规则!$B$4+计价规则!$B$5*IF(H90="",0,LEN(H90)-LEN(SUBSTITUTE(H90,"、",""))+1)</f>
        <v>90</v>
      </c>
      <c r="N90" s="12"/>
      <c r="O90" s="12">
        <f>计价规则!$B$6</f>
        <v>100</v>
      </c>
      <c r="P90" s="12">
        <f>计价规则!$B$6</f>
        <v>100</v>
      </c>
      <c r="Q90" s="12">
        <f>计价规则!$B$6</f>
        <v>100</v>
      </c>
      <c r="R90" s="12">
        <f>计价规则!$B$7</f>
        <v>400</v>
      </c>
      <c r="S90" s="8" t="s">
        <v>26</v>
      </c>
      <c r="T90" s="13">
        <v>89</v>
      </c>
    </row>
    <row r="91" ht="26" customHeight="1" spans="1:20">
      <c r="A91" s="8">
        <f t="shared" si="1"/>
        <v>90</v>
      </c>
      <c r="B91" s="8" t="s">
        <v>289</v>
      </c>
      <c r="C91" s="9" t="s">
        <v>292</v>
      </c>
      <c r="D91" s="10" t="s">
        <v>293</v>
      </c>
      <c r="E91" s="11" t="s">
        <v>23</v>
      </c>
      <c r="F91" s="11"/>
      <c r="G91" s="10" t="s">
        <v>24</v>
      </c>
      <c r="H91" s="10" t="s">
        <v>294</v>
      </c>
      <c r="I91" s="10"/>
      <c r="J91" s="10"/>
      <c r="K91" s="10"/>
      <c r="L91" s="12">
        <f>计价规则!$B$2+计价规则!$B$3*MAX(0,IF(H91="",0,LEN(H91)-LEN(SUBSTITUTE(H91,"、",""))+1)-(IF(ISNUMBER(SEARCH("WiFi通信模块",H91)),1,0)+IF(ISNUMBER(SEARCH("ESP8266 WiFi模块",H91)),1,0)+IF(ISNUMBER(SEARCH("NRF24L01无线通信模块",H91)),1,0)+IF(ISNUMBER(SEARCH("蓝牙模块",H91)),1,0)+IF(ISNUMBER(SEARCH("语音识别模块",H91)),1,0)+IF(ISNUMBER(SEARCH("语音播报模块",H91)),1,0)+IF(ISNUMBER(SEARCH("RFID模块",H91)),1,0)+IF(ISNUMBER(SEARCH("RFID读卡模块",H91)),1,0)+IF(ISNUMBER(SEARCH("GPS定位模块",H91)),1,0)+IF(ISNUMBER(SEARCH("GSM通信模块",H91)),1,0)+IF(ISNUMBER(SEARCH("摄像头模块",H91)),1,0)+IF(ISNUMBER(SEARCH("人脸识别模块",H91)),1,0)+IF(ISNUMBER(SEARCH("手势识别传感器",H91)),1,0)))</f>
        <v>90</v>
      </c>
      <c r="M91" s="12">
        <f>计价规则!$B$4+计价规则!$B$5*IF(H91="",0,LEN(H91)-LEN(SUBSTITUTE(H91,"、",""))+1)</f>
        <v>90</v>
      </c>
      <c r="N91" s="12"/>
      <c r="O91" s="12">
        <f>计价规则!$B$6</f>
        <v>100</v>
      </c>
      <c r="P91" s="12">
        <f>计价规则!$B$6</f>
        <v>100</v>
      </c>
      <c r="Q91" s="12">
        <f>计价规则!$B$6</f>
        <v>100</v>
      </c>
      <c r="R91" s="12">
        <f>计价规则!$B$7</f>
        <v>400</v>
      </c>
      <c r="S91" s="8" t="s">
        <v>26</v>
      </c>
      <c r="T91" s="13">
        <v>90</v>
      </c>
    </row>
    <row r="92" ht="26" customHeight="1" spans="1:20">
      <c r="A92" s="8">
        <f t="shared" si="1"/>
        <v>91</v>
      </c>
      <c r="B92" s="8" t="s">
        <v>289</v>
      </c>
      <c r="C92" s="9" t="s">
        <v>295</v>
      </c>
      <c r="D92" s="10" t="s">
        <v>296</v>
      </c>
      <c r="E92" s="11" t="s">
        <v>23</v>
      </c>
      <c r="F92" s="11"/>
      <c r="G92" s="10" t="s">
        <v>24</v>
      </c>
      <c r="H92" s="10" t="s">
        <v>198</v>
      </c>
      <c r="I92" s="10"/>
      <c r="J92" s="10"/>
      <c r="K92" s="10"/>
      <c r="L92" s="12">
        <f>计价规则!$B$2+计价规则!$B$3*MAX(0,IF(H92="",0,LEN(H92)-LEN(SUBSTITUTE(H92,"、",""))+1)-(IF(ISNUMBER(SEARCH("WiFi通信模块",H92)),1,0)+IF(ISNUMBER(SEARCH("ESP8266 WiFi模块",H92)),1,0)+IF(ISNUMBER(SEARCH("NRF24L01无线通信模块",H92)),1,0)+IF(ISNUMBER(SEARCH("蓝牙模块",H92)),1,0)+IF(ISNUMBER(SEARCH("语音识别模块",H92)),1,0)+IF(ISNUMBER(SEARCH("语音播报模块",H92)),1,0)+IF(ISNUMBER(SEARCH("RFID模块",H92)),1,0)+IF(ISNUMBER(SEARCH("RFID读卡模块",H92)),1,0)+IF(ISNUMBER(SEARCH("GPS定位模块",H92)),1,0)+IF(ISNUMBER(SEARCH("GSM通信模块",H92)),1,0)+IF(ISNUMBER(SEARCH("摄像头模块",H92)),1,0)+IF(ISNUMBER(SEARCH("人脸识别模块",H92)),1,0)+IF(ISNUMBER(SEARCH("手势识别传感器",H92)),1,0)))</f>
        <v>90</v>
      </c>
      <c r="M92" s="12">
        <f>计价规则!$B$4+计价规则!$B$5*IF(H92="",0,LEN(H92)-LEN(SUBSTITUTE(H92,"、",""))+1)</f>
        <v>90</v>
      </c>
      <c r="N92" s="12"/>
      <c r="O92" s="12">
        <f>计价规则!$B$6</f>
        <v>100</v>
      </c>
      <c r="P92" s="12">
        <f>计价规则!$B$6</f>
        <v>100</v>
      </c>
      <c r="Q92" s="12">
        <f>计价规则!$B$6</f>
        <v>100</v>
      </c>
      <c r="R92" s="12">
        <f>计价规则!$B$7</f>
        <v>400</v>
      </c>
      <c r="S92" s="8" t="s">
        <v>26</v>
      </c>
      <c r="T92" s="13">
        <v>91</v>
      </c>
    </row>
    <row r="93" ht="26" customHeight="1" spans="1:20">
      <c r="A93" s="8">
        <f t="shared" si="1"/>
        <v>92</v>
      </c>
      <c r="B93" s="8" t="s">
        <v>289</v>
      </c>
      <c r="C93" s="9" t="s">
        <v>297</v>
      </c>
      <c r="D93" s="10" t="s">
        <v>298</v>
      </c>
      <c r="E93" s="11" t="s">
        <v>23</v>
      </c>
      <c r="F93" s="11"/>
      <c r="G93" s="10" t="s">
        <v>24</v>
      </c>
      <c r="H93" s="10" t="s">
        <v>198</v>
      </c>
      <c r="I93" s="10"/>
      <c r="J93" s="10"/>
      <c r="K93" s="10"/>
      <c r="L93" s="12">
        <f>计价规则!$B$2+计价规则!$B$3*MAX(0,IF(H93="",0,LEN(H93)-LEN(SUBSTITUTE(H93,"、",""))+1)-(IF(ISNUMBER(SEARCH("WiFi通信模块",H93)),1,0)+IF(ISNUMBER(SEARCH("ESP8266 WiFi模块",H93)),1,0)+IF(ISNUMBER(SEARCH("NRF24L01无线通信模块",H93)),1,0)+IF(ISNUMBER(SEARCH("蓝牙模块",H93)),1,0)+IF(ISNUMBER(SEARCH("语音识别模块",H93)),1,0)+IF(ISNUMBER(SEARCH("语音播报模块",H93)),1,0)+IF(ISNUMBER(SEARCH("RFID模块",H93)),1,0)+IF(ISNUMBER(SEARCH("RFID读卡模块",H93)),1,0)+IF(ISNUMBER(SEARCH("GPS定位模块",H93)),1,0)+IF(ISNUMBER(SEARCH("GSM通信模块",H93)),1,0)+IF(ISNUMBER(SEARCH("摄像头模块",H93)),1,0)+IF(ISNUMBER(SEARCH("人脸识别模块",H93)),1,0)+IF(ISNUMBER(SEARCH("手势识别传感器",H93)),1,0)))</f>
        <v>90</v>
      </c>
      <c r="M93" s="12">
        <f>计价规则!$B$4+计价规则!$B$5*IF(H93="",0,LEN(H93)-LEN(SUBSTITUTE(H93,"、",""))+1)</f>
        <v>90</v>
      </c>
      <c r="N93" s="12"/>
      <c r="O93" s="12">
        <f>计价规则!$B$6</f>
        <v>100</v>
      </c>
      <c r="P93" s="12">
        <f>计价规则!$B$6</f>
        <v>100</v>
      </c>
      <c r="Q93" s="12">
        <f>计价规则!$B$6</f>
        <v>100</v>
      </c>
      <c r="R93" s="12">
        <f>计价规则!$B$7</f>
        <v>400</v>
      </c>
      <c r="S93" s="8" t="s">
        <v>26</v>
      </c>
      <c r="T93" s="13">
        <v>92</v>
      </c>
    </row>
    <row r="94" ht="26" customHeight="1" spans="1:20">
      <c r="A94" s="8">
        <f t="shared" si="1"/>
        <v>93</v>
      </c>
      <c r="B94" s="8" t="s">
        <v>289</v>
      </c>
      <c r="C94" s="9" t="s">
        <v>299</v>
      </c>
      <c r="D94" s="10" t="s">
        <v>300</v>
      </c>
      <c r="E94" s="11" t="s">
        <v>23</v>
      </c>
      <c r="F94" s="11"/>
      <c r="G94" s="10" t="s">
        <v>301</v>
      </c>
      <c r="H94" s="10" t="s">
        <v>302</v>
      </c>
      <c r="I94" s="10"/>
      <c r="J94" s="10"/>
      <c r="K94" s="10" t="s">
        <v>101</v>
      </c>
      <c r="L94" s="12">
        <f>计价规则!$B$2+计价规则!$B$3*MAX(0,IF(H94="",0,LEN(H94)-LEN(SUBSTITUTE(H94,"、",""))+1)-(IF(ISNUMBER(SEARCH("WiFi通信模块",H94)),1,0)+IF(ISNUMBER(SEARCH("ESP8266 WiFi模块",H94)),1,0)+IF(ISNUMBER(SEARCH("NRF24L01无线通信模块",H94)),1,0)+IF(ISNUMBER(SEARCH("蓝牙模块",H94)),1,0)+IF(ISNUMBER(SEARCH("语音识别模块",H94)),1,0)+IF(ISNUMBER(SEARCH("语音播报模块",H94)),1,0)+IF(ISNUMBER(SEARCH("RFID模块",H94)),1,0)+IF(ISNUMBER(SEARCH("RFID读卡模块",H94)),1,0)+IF(ISNUMBER(SEARCH("GPS定位模块",H94)),1,0)+IF(ISNUMBER(SEARCH("GSM通信模块",H94)),1,0)+IF(ISNUMBER(SEARCH("摄像头模块",H94)),1,0)+IF(ISNUMBER(SEARCH("人脸识别模块",H94)),1,0)+IF(ISNUMBER(SEARCH("手势识别传感器",H94)),1,0)))</f>
        <v>105</v>
      </c>
      <c r="M94" s="12">
        <f>计价规则!$B$4+计价规则!$B$5*IF(H94="",0,LEN(H94)-LEN(SUBSTITUTE(H94,"、",""))+1)</f>
        <v>130</v>
      </c>
      <c r="N94" s="12"/>
      <c r="O94" s="12">
        <f>计价规则!$B$6</f>
        <v>100</v>
      </c>
      <c r="P94" s="12">
        <f>计价规则!$B$6</f>
        <v>100</v>
      </c>
      <c r="Q94" s="12">
        <f>计价规则!$B$6</f>
        <v>100</v>
      </c>
      <c r="R94" s="12">
        <f>计价规则!$B$7</f>
        <v>400</v>
      </c>
      <c r="S94" s="8" t="s">
        <v>26</v>
      </c>
      <c r="T94" s="13">
        <v>93</v>
      </c>
    </row>
    <row r="95" ht="26" customHeight="1" spans="1:20">
      <c r="A95" s="8">
        <f t="shared" si="1"/>
        <v>94</v>
      </c>
      <c r="B95" s="8" t="s">
        <v>289</v>
      </c>
      <c r="C95" s="9" t="s">
        <v>303</v>
      </c>
      <c r="D95" s="10" t="s">
        <v>304</v>
      </c>
      <c r="E95" s="11" t="s">
        <v>23</v>
      </c>
      <c r="F95" s="11"/>
      <c r="G95" s="10" t="s">
        <v>305</v>
      </c>
      <c r="H95" s="10" t="s">
        <v>82</v>
      </c>
      <c r="I95" s="10"/>
      <c r="J95" s="10"/>
      <c r="K95" s="10"/>
      <c r="L95" s="12">
        <f>计价规则!$B$2+计价规则!$B$3*MAX(0,IF(H95="",0,LEN(H95)-LEN(SUBSTITUTE(H95,"、",""))+1)-(IF(ISNUMBER(SEARCH("WiFi通信模块",H95)),1,0)+IF(ISNUMBER(SEARCH("ESP8266 WiFi模块",H95)),1,0)+IF(ISNUMBER(SEARCH("NRF24L01无线通信模块",H95)),1,0)+IF(ISNUMBER(SEARCH("蓝牙模块",H95)),1,0)+IF(ISNUMBER(SEARCH("语音识别模块",H95)),1,0)+IF(ISNUMBER(SEARCH("语音播报模块",H95)),1,0)+IF(ISNUMBER(SEARCH("RFID模块",H95)),1,0)+IF(ISNUMBER(SEARCH("RFID读卡模块",H95)),1,0)+IF(ISNUMBER(SEARCH("GPS定位模块",H95)),1,0)+IF(ISNUMBER(SEARCH("GSM通信模块",H95)),1,0)+IF(ISNUMBER(SEARCH("摄像头模块",H95)),1,0)+IF(ISNUMBER(SEARCH("人脸识别模块",H95)),1,0)+IF(ISNUMBER(SEARCH("手势识别传感器",H95)),1,0)))</f>
        <v>90</v>
      </c>
      <c r="M95" s="12">
        <f>计价规则!$B$4+计价规则!$B$5*IF(H95="",0,LEN(H95)-LEN(SUBSTITUTE(H95,"、",""))+1)</f>
        <v>90</v>
      </c>
      <c r="N95" s="12"/>
      <c r="O95" s="12">
        <f>计价规则!$B$6</f>
        <v>100</v>
      </c>
      <c r="P95" s="12">
        <f>计价规则!$B$6</f>
        <v>100</v>
      </c>
      <c r="Q95" s="12">
        <f>计价规则!$B$6</f>
        <v>100</v>
      </c>
      <c r="R95" s="12">
        <f>计价规则!$B$7</f>
        <v>400</v>
      </c>
      <c r="S95" s="8" t="s">
        <v>26</v>
      </c>
      <c r="T95" s="13">
        <v>94</v>
      </c>
    </row>
    <row r="96" ht="26" customHeight="1" spans="1:20">
      <c r="A96" s="8">
        <f t="shared" si="1"/>
        <v>95</v>
      </c>
      <c r="B96" s="8" t="s">
        <v>289</v>
      </c>
      <c r="C96" s="9" t="s">
        <v>306</v>
      </c>
      <c r="D96" s="10" t="s">
        <v>307</v>
      </c>
      <c r="E96" s="11" t="s">
        <v>23</v>
      </c>
      <c r="F96" s="11"/>
      <c r="G96" s="10" t="s">
        <v>305</v>
      </c>
      <c r="H96" s="10" t="s">
        <v>308</v>
      </c>
      <c r="I96" s="10"/>
      <c r="J96" s="10"/>
      <c r="K96" s="10"/>
      <c r="L96" s="12">
        <f>计价规则!$B$2+计价规则!$B$3*MAX(0,IF(H96="",0,LEN(H96)-LEN(SUBSTITUTE(H96,"、",""))+1)-(IF(ISNUMBER(SEARCH("WiFi通信模块",H96)),1,0)+IF(ISNUMBER(SEARCH("ESP8266 WiFi模块",H96)),1,0)+IF(ISNUMBER(SEARCH("NRF24L01无线通信模块",H96)),1,0)+IF(ISNUMBER(SEARCH("蓝牙模块",H96)),1,0)+IF(ISNUMBER(SEARCH("语音识别模块",H96)),1,0)+IF(ISNUMBER(SEARCH("语音播报模块",H96)),1,0)+IF(ISNUMBER(SEARCH("RFID模块",H96)),1,0)+IF(ISNUMBER(SEARCH("RFID读卡模块",H96)),1,0)+IF(ISNUMBER(SEARCH("GPS定位模块",H96)),1,0)+IF(ISNUMBER(SEARCH("GSM通信模块",H96)),1,0)+IF(ISNUMBER(SEARCH("摄像头模块",H96)),1,0)+IF(ISNUMBER(SEARCH("人脸识别模块",H96)),1,0)+IF(ISNUMBER(SEARCH("手势识别传感器",H96)),1,0)))</f>
        <v>90</v>
      </c>
      <c r="M96" s="12">
        <f>计价规则!$B$4+计价规则!$B$5*IF(H96="",0,LEN(H96)-LEN(SUBSTITUTE(H96,"、",""))+1)</f>
        <v>90</v>
      </c>
      <c r="N96" s="12"/>
      <c r="O96" s="12">
        <f>计价规则!$B$6</f>
        <v>100</v>
      </c>
      <c r="P96" s="12">
        <f>计价规则!$B$6</f>
        <v>100</v>
      </c>
      <c r="Q96" s="12">
        <f>计价规则!$B$6</f>
        <v>100</v>
      </c>
      <c r="R96" s="12">
        <f>计价规则!$B$7</f>
        <v>400</v>
      </c>
      <c r="S96" s="8" t="s">
        <v>26</v>
      </c>
      <c r="T96" s="13">
        <v>95</v>
      </c>
    </row>
    <row r="97" ht="26" customHeight="1" spans="1:20">
      <c r="A97" s="8">
        <f t="shared" si="1"/>
        <v>96</v>
      </c>
      <c r="B97" s="8" t="s">
        <v>289</v>
      </c>
      <c r="C97" s="9" t="s">
        <v>309</v>
      </c>
      <c r="D97" s="10" t="s">
        <v>310</v>
      </c>
      <c r="E97" s="11" t="s">
        <v>23</v>
      </c>
      <c r="F97" s="11"/>
      <c r="G97" s="10" t="s">
        <v>69</v>
      </c>
      <c r="H97" s="10" t="s">
        <v>127</v>
      </c>
      <c r="I97" s="10"/>
      <c r="J97" s="10"/>
      <c r="K97" s="10" t="s">
        <v>128</v>
      </c>
      <c r="L97" s="12">
        <f>计价规则!$B$2+计价规则!$B$3*MAX(0,IF(H97="",0,LEN(H97)-LEN(SUBSTITUTE(H97,"、",""))+1)-(IF(ISNUMBER(SEARCH("WiFi通信模块",H97)),1,0)+IF(ISNUMBER(SEARCH("ESP8266 WiFi模块",H97)),1,0)+IF(ISNUMBER(SEARCH("NRF24L01无线通信模块",H97)),1,0)+IF(ISNUMBER(SEARCH("蓝牙模块",H97)),1,0)+IF(ISNUMBER(SEARCH("语音识别模块",H97)),1,0)+IF(ISNUMBER(SEARCH("语音播报模块",H97)),1,0)+IF(ISNUMBER(SEARCH("RFID模块",H97)),1,0)+IF(ISNUMBER(SEARCH("RFID读卡模块",H97)),1,0)+IF(ISNUMBER(SEARCH("GPS定位模块",H97)),1,0)+IF(ISNUMBER(SEARCH("GSM通信模块",H97)),1,0)+IF(ISNUMBER(SEARCH("摄像头模块",H97)),1,0)+IF(ISNUMBER(SEARCH("人脸识别模块",H97)),1,0)+IF(ISNUMBER(SEARCH("手势识别传感器",H97)),1,0)))</f>
        <v>90</v>
      </c>
      <c r="M97" s="12">
        <f>计价规则!$B$4+计价规则!$B$5*IF(H97="",0,LEN(H97)-LEN(SUBSTITUTE(H97,"、",""))+1)</f>
        <v>110</v>
      </c>
      <c r="N97" s="12"/>
      <c r="O97" s="12">
        <f>计价规则!$B$6</f>
        <v>100</v>
      </c>
      <c r="P97" s="12">
        <f>计价规则!$B$6</f>
        <v>100</v>
      </c>
      <c r="Q97" s="12">
        <f>计价规则!$B$6</f>
        <v>100</v>
      </c>
      <c r="R97" s="12">
        <f>计价规则!$B$7</f>
        <v>400</v>
      </c>
      <c r="S97" s="8" t="s">
        <v>26</v>
      </c>
      <c r="T97" s="13">
        <v>96</v>
      </c>
    </row>
    <row r="98" ht="26" customHeight="1" spans="1:20">
      <c r="A98" s="8">
        <f t="shared" si="1"/>
        <v>97</v>
      </c>
      <c r="B98" s="8" t="s">
        <v>289</v>
      </c>
      <c r="C98" s="9" t="s">
        <v>311</v>
      </c>
      <c r="D98" s="10" t="s">
        <v>312</v>
      </c>
      <c r="E98" s="11" t="s">
        <v>23</v>
      </c>
      <c r="F98" s="11"/>
      <c r="G98" s="10" t="s">
        <v>313</v>
      </c>
      <c r="H98" s="10" t="s">
        <v>314</v>
      </c>
      <c r="I98" s="10"/>
      <c r="J98" s="10"/>
      <c r="K98" s="10"/>
      <c r="L98" s="12">
        <f>计价规则!$B$2+计价规则!$B$3*MAX(0,IF(H98="",0,LEN(H98)-LEN(SUBSTITUTE(H98,"、",""))+1)-(IF(ISNUMBER(SEARCH("WiFi通信模块",H98)),1,0)+IF(ISNUMBER(SEARCH("ESP8266 WiFi模块",H98)),1,0)+IF(ISNUMBER(SEARCH("NRF24L01无线通信模块",H98)),1,0)+IF(ISNUMBER(SEARCH("蓝牙模块",H98)),1,0)+IF(ISNUMBER(SEARCH("语音识别模块",H98)),1,0)+IF(ISNUMBER(SEARCH("语音播报模块",H98)),1,0)+IF(ISNUMBER(SEARCH("RFID模块",H98)),1,0)+IF(ISNUMBER(SEARCH("RFID读卡模块",H98)),1,0)+IF(ISNUMBER(SEARCH("GPS定位模块",H98)),1,0)+IF(ISNUMBER(SEARCH("GSM通信模块",H98)),1,0)+IF(ISNUMBER(SEARCH("摄像头模块",H98)),1,0)+IF(ISNUMBER(SEARCH("人脸识别模块",H98)),1,0)+IF(ISNUMBER(SEARCH("手势识别传感器",H98)),1,0)))</f>
        <v>90</v>
      </c>
      <c r="M98" s="12">
        <f>计价规则!$B$4+计价规则!$B$5*IF(H98="",0,LEN(H98)-LEN(SUBSTITUTE(H98,"、",""))+1)</f>
        <v>90</v>
      </c>
      <c r="N98" s="12"/>
      <c r="O98" s="12">
        <f>计价规则!$B$6</f>
        <v>100</v>
      </c>
      <c r="P98" s="12">
        <f>计价规则!$B$6</f>
        <v>100</v>
      </c>
      <c r="Q98" s="12">
        <f>计价规则!$B$6</f>
        <v>100</v>
      </c>
      <c r="R98" s="12">
        <f>计价规则!$B$7</f>
        <v>400</v>
      </c>
      <c r="S98" s="8" t="s">
        <v>26</v>
      </c>
      <c r="T98" s="13">
        <v>97</v>
      </c>
    </row>
    <row r="99" ht="26" customHeight="1" spans="1:20">
      <c r="A99" s="8">
        <f t="shared" si="1"/>
        <v>98</v>
      </c>
      <c r="B99" s="8" t="s">
        <v>289</v>
      </c>
      <c r="C99" s="9" t="s">
        <v>315</v>
      </c>
      <c r="D99" s="10" t="s">
        <v>316</v>
      </c>
      <c r="E99" s="11" t="s">
        <v>23</v>
      </c>
      <c r="F99" s="11"/>
      <c r="G99" s="10" t="s">
        <v>313</v>
      </c>
      <c r="H99" s="10" t="s">
        <v>314</v>
      </c>
      <c r="I99" s="10"/>
      <c r="J99" s="10"/>
      <c r="K99" s="10"/>
      <c r="L99" s="12">
        <f>计价规则!$B$2+计价规则!$B$3*MAX(0,IF(H99="",0,LEN(H99)-LEN(SUBSTITUTE(H99,"、",""))+1)-(IF(ISNUMBER(SEARCH("WiFi通信模块",H99)),1,0)+IF(ISNUMBER(SEARCH("ESP8266 WiFi模块",H99)),1,0)+IF(ISNUMBER(SEARCH("NRF24L01无线通信模块",H99)),1,0)+IF(ISNUMBER(SEARCH("蓝牙模块",H99)),1,0)+IF(ISNUMBER(SEARCH("语音识别模块",H99)),1,0)+IF(ISNUMBER(SEARCH("语音播报模块",H99)),1,0)+IF(ISNUMBER(SEARCH("RFID模块",H99)),1,0)+IF(ISNUMBER(SEARCH("RFID读卡模块",H99)),1,0)+IF(ISNUMBER(SEARCH("GPS定位模块",H99)),1,0)+IF(ISNUMBER(SEARCH("GSM通信模块",H99)),1,0)+IF(ISNUMBER(SEARCH("摄像头模块",H99)),1,0)+IF(ISNUMBER(SEARCH("人脸识别模块",H99)),1,0)+IF(ISNUMBER(SEARCH("手势识别传感器",H99)),1,0)))</f>
        <v>90</v>
      </c>
      <c r="M99" s="12">
        <f>计价规则!$B$4+计价规则!$B$5*IF(H99="",0,LEN(H99)-LEN(SUBSTITUTE(H99,"、",""))+1)</f>
        <v>90</v>
      </c>
      <c r="N99" s="12"/>
      <c r="O99" s="12">
        <f>计价规则!$B$6</f>
        <v>100</v>
      </c>
      <c r="P99" s="12">
        <f>计价规则!$B$6</f>
        <v>100</v>
      </c>
      <c r="Q99" s="12">
        <f>计价规则!$B$6</f>
        <v>100</v>
      </c>
      <c r="R99" s="12">
        <f>计价规则!$B$7</f>
        <v>400</v>
      </c>
      <c r="S99" s="8" t="s">
        <v>26</v>
      </c>
      <c r="T99" s="13">
        <v>98</v>
      </c>
    </row>
    <row r="100" ht="26" customHeight="1" spans="1:20">
      <c r="A100" s="8">
        <f t="shared" si="1"/>
        <v>99</v>
      </c>
      <c r="B100" s="8" t="s">
        <v>289</v>
      </c>
      <c r="C100" s="9" t="s">
        <v>317</v>
      </c>
      <c r="D100" s="10" t="s">
        <v>318</v>
      </c>
      <c r="E100" s="11" t="s">
        <v>23</v>
      </c>
      <c r="F100" s="11"/>
      <c r="G100" s="10" t="s">
        <v>319</v>
      </c>
      <c r="H100" s="10" t="s">
        <v>320</v>
      </c>
      <c r="I100" s="10"/>
      <c r="J100" s="10"/>
      <c r="K100" s="10"/>
      <c r="L100" s="12">
        <f>计价规则!$B$2+计价规则!$B$3*MAX(0,IF(H100="",0,LEN(H100)-LEN(SUBSTITUTE(H100,"、",""))+1)-(IF(ISNUMBER(SEARCH("WiFi通信模块",H100)),1,0)+IF(ISNUMBER(SEARCH("ESP8266 WiFi模块",H100)),1,0)+IF(ISNUMBER(SEARCH("NRF24L01无线通信模块",H100)),1,0)+IF(ISNUMBER(SEARCH("蓝牙模块",H100)),1,0)+IF(ISNUMBER(SEARCH("语音识别模块",H100)),1,0)+IF(ISNUMBER(SEARCH("语音播报模块",H100)),1,0)+IF(ISNUMBER(SEARCH("RFID模块",H100)),1,0)+IF(ISNUMBER(SEARCH("RFID读卡模块",H100)),1,0)+IF(ISNUMBER(SEARCH("GPS定位模块",H100)),1,0)+IF(ISNUMBER(SEARCH("GSM通信模块",H100)),1,0)+IF(ISNUMBER(SEARCH("摄像头模块",H100)),1,0)+IF(ISNUMBER(SEARCH("人脸识别模块",H100)),1,0)+IF(ISNUMBER(SEARCH("手势识别传感器",H100)),1,0)))</f>
        <v>90</v>
      </c>
      <c r="M100" s="12">
        <f>计价规则!$B$4+计价规则!$B$5*IF(H100="",0,LEN(H100)-LEN(SUBSTITUTE(H100,"、",""))+1)</f>
        <v>90</v>
      </c>
      <c r="N100" s="12"/>
      <c r="O100" s="12">
        <f>计价规则!$B$6</f>
        <v>100</v>
      </c>
      <c r="P100" s="12">
        <f>计价规则!$B$6</f>
        <v>100</v>
      </c>
      <c r="Q100" s="12">
        <f>计价规则!$B$6</f>
        <v>100</v>
      </c>
      <c r="R100" s="12">
        <f>计价规则!$B$7</f>
        <v>400</v>
      </c>
      <c r="S100" s="8" t="s">
        <v>26</v>
      </c>
      <c r="T100" s="13">
        <v>99</v>
      </c>
    </row>
    <row r="101" ht="26" customHeight="1" spans="1:20">
      <c r="A101" s="8">
        <f t="shared" si="1"/>
        <v>100</v>
      </c>
      <c r="B101" s="8" t="s">
        <v>289</v>
      </c>
      <c r="C101" s="9" t="s">
        <v>321</v>
      </c>
      <c r="D101" s="10" t="s">
        <v>322</v>
      </c>
      <c r="E101" s="11" t="s">
        <v>23</v>
      </c>
      <c r="F101" s="11"/>
      <c r="G101" s="10" t="s">
        <v>73</v>
      </c>
      <c r="H101" s="10" t="s">
        <v>323</v>
      </c>
      <c r="I101" s="10"/>
      <c r="J101" s="10"/>
      <c r="K101" s="10"/>
      <c r="L101" s="12">
        <f>计价规则!$B$2+计价规则!$B$3*MAX(0,IF(H101="",0,LEN(H101)-LEN(SUBSTITUTE(H101,"、",""))+1)-(IF(ISNUMBER(SEARCH("WiFi通信模块",H101)),1,0)+IF(ISNUMBER(SEARCH("ESP8266 WiFi模块",H101)),1,0)+IF(ISNUMBER(SEARCH("NRF24L01无线通信模块",H101)),1,0)+IF(ISNUMBER(SEARCH("蓝牙模块",H101)),1,0)+IF(ISNUMBER(SEARCH("语音识别模块",H101)),1,0)+IF(ISNUMBER(SEARCH("语音播报模块",H101)),1,0)+IF(ISNUMBER(SEARCH("RFID模块",H101)),1,0)+IF(ISNUMBER(SEARCH("RFID读卡模块",H101)),1,0)+IF(ISNUMBER(SEARCH("GPS定位模块",H101)),1,0)+IF(ISNUMBER(SEARCH("GSM通信模块",H101)),1,0)+IF(ISNUMBER(SEARCH("摄像头模块",H101)),1,0)+IF(ISNUMBER(SEARCH("人脸识别模块",H101)),1,0)+IF(ISNUMBER(SEARCH("手势识别传感器",H101)),1,0)))</f>
        <v>90</v>
      </c>
      <c r="M101" s="12">
        <f>计价规则!$B$4+计价规则!$B$5*IF(H101="",0,LEN(H101)-LEN(SUBSTITUTE(H101,"、",""))+1)</f>
        <v>90</v>
      </c>
      <c r="N101" s="12"/>
      <c r="O101" s="12">
        <f>计价规则!$B$6</f>
        <v>100</v>
      </c>
      <c r="P101" s="12">
        <f>计价规则!$B$6</f>
        <v>100</v>
      </c>
      <c r="Q101" s="12">
        <f>计价规则!$B$6</f>
        <v>100</v>
      </c>
      <c r="R101" s="12">
        <f>计价规则!$B$7</f>
        <v>400</v>
      </c>
      <c r="S101" s="8" t="s">
        <v>26</v>
      </c>
      <c r="T101" s="13">
        <v>100</v>
      </c>
    </row>
    <row r="102" ht="26" customHeight="1" spans="1:20">
      <c r="A102" s="8">
        <f t="shared" si="1"/>
        <v>101</v>
      </c>
      <c r="B102" s="8" t="s">
        <v>289</v>
      </c>
      <c r="C102" s="9" t="s">
        <v>324</v>
      </c>
      <c r="D102" s="10" t="s">
        <v>325</v>
      </c>
      <c r="E102" s="11" t="s">
        <v>23</v>
      </c>
      <c r="F102" s="11"/>
      <c r="G102" s="10" t="s">
        <v>58</v>
      </c>
      <c r="H102" s="10" t="s">
        <v>326</v>
      </c>
      <c r="I102" s="10"/>
      <c r="J102" s="10"/>
      <c r="K102" s="10"/>
      <c r="L102" s="12">
        <f>计价规则!$B$2+计价规则!$B$3*MAX(0,IF(H102="",0,LEN(H102)-LEN(SUBSTITUTE(H102,"、",""))+1)-(IF(ISNUMBER(SEARCH("WiFi通信模块",H102)),1,0)+IF(ISNUMBER(SEARCH("ESP8266 WiFi模块",H102)),1,0)+IF(ISNUMBER(SEARCH("NRF24L01无线通信模块",H102)),1,0)+IF(ISNUMBER(SEARCH("蓝牙模块",H102)),1,0)+IF(ISNUMBER(SEARCH("语音识别模块",H102)),1,0)+IF(ISNUMBER(SEARCH("语音播报模块",H102)),1,0)+IF(ISNUMBER(SEARCH("RFID模块",H102)),1,0)+IF(ISNUMBER(SEARCH("RFID读卡模块",H102)),1,0)+IF(ISNUMBER(SEARCH("GPS定位模块",H102)),1,0)+IF(ISNUMBER(SEARCH("GSM通信模块",H102)),1,0)+IF(ISNUMBER(SEARCH("摄像头模块",H102)),1,0)+IF(ISNUMBER(SEARCH("人脸识别模块",H102)),1,0)+IF(ISNUMBER(SEARCH("手势识别传感器",H102)),1,0)))</f>
        <v>90</v>
      </c>
      <c r="M102" s="12">
        <f>计价规则!$B$4+计价规则!$B$5*IF(H102="",0,LEN(H102)-LEN(SUBSTITUTE(H102,"、",""))+1)</f>
        <v>90</v>
      </c>
      <c r="N102" s="12"/>
      <c r="O102" s="12">
        <f>计价规则!$B$6</f>
        <v>100</v>
      </c>
      <c r="P102" s="12">
        <f>计价规则!$B$6</f>
        <v>100</v>
      </c>
      <c r="Q102" s="12">
        <f>计价规则!$B$6</f>
        <v>100</v>
      </c>
      <c r="R102" s="12">
        <f>计价规则!$B$7</f>
        <v>400</v>
      </c>
      <c r="S102" s="8" t="s">
        <v>26</v>
      </c>
      <c r="T102" s="13">
        <v>101</v>
      </c>
    </row>
    <row r="103" ht="26" customHeight="1" spans="1:20">
      <c r="A103" s="8">
        <f t="shared" si="1"/>
        <v>102</v>
      </c>
      <c r="B103" s="8" t="s">
        <v>289</v>
      </c>
      <c r="C103" s="9" t="s">
        <v>327</v>
      </c>
      <c r="D103" s="10" t="s">
        <v>328</v>
      </c>
      <c r="E103" s="11" t="s">
        <v>23</v>
      </c>
      <c r="F103" s="11"/>
      <c r="G103" s="10" t="s">
        <v>58</v>
      </c>
      <c r="H103" s="10" t="s">
        <v>329</v>
      </c>
      <c r="I103" s="10"/>
      <c r="J103" s="10"/>
      <c r="K103" s="10"/>
      <c r="L103" s="12">
        <f>计价规则!$B$2+计价规则!$B$3*MAX(0,IF(H103="",0,LEN(H103)-LEN(SUBSTITUTE(H103,"、",""))+1)-(IF(ISNUMBER(SEARCH("WiFi通信模块",H103)),1,0)+IF(ISNUMBER(SEARCH("ESP8266 WiFi模块",H103)),1,0)+IF(ISNUMBER(SEARCH("NRF24L01无线通信模块",H103)),1,0)+IF(ISNUMBER(SEARCH("蓝牙模块",H103)),1,0)+IF(ISNUMBER(SEARCH("语音识别模块",H103)),1,0)+IF(ISNUMBER(SEARCH("语音播报模块",H103)),1,0)+IF(ISNUMBER(SEARCH("RFID模块",H103)),1,0)+IF(ISNUMBER(SEARCH("RFID读卡模块",H103)),1,0)+IF(ISNUMBER(SEARCH("GPS定位模块",H103)),1,0)+IF(ISNUMBER(SEARCH("GSM通信模块",H103)),1,0)+IF(ISNUMBER(SEARCH("摄像头模块",H103)),1,0)+IF(ISNUMBER(SEARCH("人脸识别模块",H103)),1,0)+IF(ISNUMBER(SEARCH("手势识别传感器",H103)),1,0)))</f>
        <v>105</v>
      </c>
      <c r="M103" s="12">
        <f>计价规则!$B$4+计价规则!$B$5*IF(H103="",0,LEN(H103)-LEN(SUBSTITUTE(H103,"、",""))+1)</f>
        <v>110</v>
      </c>
      <c r="N103" s="12"/>
      <c r="O103" s="12">
        <f>计价规则!$B$6</f>
        <v>100</v>
      </c>
      <c r="P103" s="12">
        <f>计价规则!$B$6</f>
        <v>100</v>
      </c>
      <c r="Q103" s="12">
        <f>计价规则!$B$6</f>
        <v>100</v>
      </c>
      <c r="R103" s="12">
        <f>计价规则!$B$7</f>
        <v>400</v>
      </c>
      <c r="S103" s="8" t="s">
        <v>26</v>
      </c>
      <c r="T103" s="13">
        <v>102</v>
      </c>
    </row>
    <row r="104" ht="26" customHeight="1" spans="1:20">
      <c r="A104" s="8">
        <f t="shared" si="1"/>
        <v>103</v>
      </c>
      <c r="B104" s="8" t="s">
        <v>289</v>
      </c>
      <c r="C104" s="9" t="s">
        <v>330</v>
      </c>
      <c r="D104" s="10" t="s">
        <v>331</v>
      </c>
      <c r="E104" s="11" t="s">
        <v>23</v>
      </c>
      <c r="F104" s="11"/>
      <c r="G104" s="10" t="s">
        <v>332</v>
      </c>
      <c r="H104" s="10" t="s">
        <v>333</v>
      </c>
      <c r="I104" s="10"/>
      <c r="J104" s="10"/>
      <c r="K104" s="10"/>
      <c r="L104" s="12">
        <f>计价规则!$B$2+计价规则!$B$3*MAX(0,IF(H104="",0,LEN(H104)-LEN(SUBSTITUTE(H104,"、",""))+1)-(IF(ISNUMBER(SEARCH("WiFi通信模块",H104)),1,0)+IF(ISNUMBER(SEARCH("ESP8266 WiFi模块",H104)),1,0)+IF(ISNUMBER(SEARCH("NRF24L01无线通信模块",H104)),1,0)+IF(ISNUMBER(SEARCH("蓝牙模块",H104)),1,0)+IF(ISNUMBER(SEARCH("语音识别模块",H104)),1,0)+IF(ISNUMBER(SEARCH("语音播报模块",H104)),1,0)+IF(ISNUMBER(SEARCH("RFID模块",H104)),1,0)+IF(ISNUMBER(SEARCH("RFID读卡模块",H104)),1,0)+IF(ISNUMBER(SEARCH("GPS定位模块",H104)),1,0)+IF(ISNUMBER(SEARCH("GSM通信模块",H104)),1,0)+IF(ISNUMBER(SEARCH("摄像头模块",H104)),1,0)+IF(ISNUMBER(SEARCH("人脸识别模块",H104)),1,0)+IF(ISNUMBER(SEARCH("手势识别传感器",H104)),1,0)))</f>
        <v>90</v>
      </c>
      <c r="M104" s="12">
        <f>计价规则!$B$4+计价规则!$B$5*IF(H104="",0,LEN(H104)-LEN(SUBSTITUTE(H104,"、",""))+1)</f>
        <v>90</v>
      </c>
      <c r="N104" s="12"/>
      <c r="O104" s="12">
        <f>计价规则!$B$6</f>
        <v>100</v>
      </c>
      <c r="P104" s="12">
        <f>计价规则!$B$6</f>
        <v>100</v>
      </c>
      <c r="Q104" s="12">
        <f>计价规则!$B$6</f>
        <v>100</v>
      </c>
      <c r="R104" s="12">
        <f>计价规则!$B$7</f>
        <v>400</v>
      </c>
      <c r="S104" s="8" t="s">
        <v>26</v>
      </c>
      <c r="T104" s="13">
        <v>103</v>
      </c>
    </row>
    <row r="105" ht="26" customHeight="1" spans="1:20">
      <c r="A105" s="8">
        <f t="shared" si="1"/>
        <v>104</v>
      </c>
      <c r="B105" s="8" t="s">
        <v>289</v>
      </c>
      <c r="C105" s="9" t="s">
        <v>334</v>
      </c>
      <c r="D105" s="10" t="s">
        <v>335</v>
      </c>
      <c r="E105" s="11" t="s">
        <v>23</v>
      </c>
      <c r="F105" s="11"/>
      <c r="G105" s="10" t="s">
        <v>81</v>
      </c>
      <c r="H105" s="10" t="s">
        <v>336</v>
      </c>
      <c r="I105" s="10"/>
      <c r="J105" s="10"/>
      <c r="K105" s="10"/>
      <c r="L105" s="12">
        <f>计价规则!$B$2+计价规则!$B$3*MAX(0,IF(H105="",0,LEN(H105)-LEN(SUBSTITUTE(H105,"、",""))+1)-(IF(ISNUMBER(SEARCH("WiFi通信模块",H105)),1,0)+IF(ISNUMBER(SEARCH("ESP8266 WiFi模块",H105)),1,0)+IF(ISNUMBER(SEARCH("NRF24L01无线通信模块",H105)),1,0)+IF(ISNUMBER(SEARCH("蓝牙模块",H105)),1,0)+IF(ISNUMBER(SEARCH("语音识别模块",H105)),1,0)+IF(ISNUMBER(SEARCH("语音播报模块",H105)),1,0)+IF(ISNUMBER(SEARCH("RFID模块",H105)),1,0)+IF(ISNUMBER(SEARCH("RFID读卡模块",H105)),1,0)+IF(ISNUMBER(SEARCH("GPS定位模块",H105)),1,0)+IF(ISNUMBER(SEARCH("GSM通信模块",H105)),1,0)+IF(ISNUMBER(SEARCH("摄像头模块",H105)),1,0)+IF(ISNUMBER(SEARCH("人脸识别模块",H105)),1,0)+IF(ISNUMBER(SEARCH("手势识别传感器",H105)),1,0)))</f>
        <v>75</v>
      </c>
      <c r="M105" s="12">
        <f>计价规则!$B$4+计价规则!$B$5*IF(H105="",0,LEN(H105)-LEN(SUBSTITUTE(H105,"、",""))+1)</f>
        <v>70</v>
      </c>
      <c r="N105" s="12"/>
      <c r="O105" s="12">
        <f>计价规则!$B$6</f>
        <v>100</v>
      </c>
      <c r="P105" s="12">
        <f>计价规则!$B$6</f>
        <v>100</v>
      </c>
      <c r="Q105" s="12">
        <f>计价规则!$B$6</f>
        <v>100</v>
      </c>
      <c r="R105" s="12">
        <f>计价规则!$B$7</f>
        <v>400</v>
      </c>
      <c r="S105" s="8" t="s">
        <v>26</v>
      </c>
      <c r="T105" s="13">
        <v>104</v>
      </c>
    </row>
    <row r="106" ht="26" customHeight="1" spans="1:20">
      <c r="A106" s="8">
        <f t="shared" si="1"/>
        <v>105</v>
      </c>
      <c r="B106" s="8" t="s">
        <v>289</v>
      </c>
      <c r="C106" s="9" t="s">
        <v>337</v>
      </c>
      <c r="D106" s="10" t="s">
        <v>338</v>
      </c>
      <c r="E106" s="11" t="s">
        <v>23</v>
      </c>
      <c r="F106" s="11"/>
      <c r="G106" s="10" t="s">
        <v>24</v>
      </c>
      <c r="H106" s="10" t="s">
        <v>198</v>
      </c>
      <c r="I106" s="10"/>
      <c r="J106" s="10"/>
      <c r="K106" s="10"/>
      <c r="L106" s="12">
        <f>计价规则!$B$2+计价规则!$B$3*MAX(0,IF(H106="",0,LEN(H106)-LEN(SUBSTITUTE(H106,"、",""))+1)-(IF(ISNUMBER(SEARCH("WiFi通信模块",H106)),1,0)+IF(ISNUMBER(SEARCH("ESP8266 WiFi模块",H106)),1,0)+IF(ISNUMBER(SEARCH("NRF24L01无线通信模块",H106)),1,0)+IF(ISNUMBER(SEARCH("蓝牙模块",H106)),1,0)+IF(ISNUMBER(SEARCH("语音识别模块",H106)),1,0)+IF(ISNUMBER(SEARCH("语音播报模块",H106)),1,0)+IF(ISNUMBER(SEARCH("RFID模块",H106)),1,0)+IF(ISNUMBER(SEARCH("RFID读卡模块",H106)),1,0)+IF(ISNUMBER(SEARCH("GPS定位模块",H106)),1,0)+IF(ISNUMBER(SEARCH("GSM通信模块",H106)),1,0)+IF(ISNUMBER(SEARCH("摄像头模块",H106)),1,0)+IF(ISNUMBER(SEARCH("人脸识别模块",H106)),1,0)+IF(ISNUMBER(SEARCH("手势识别传感器",H106)),1,0)))</f>
        <v>90</v>
      </c>
      <c r="M106" s="12">
        <f>计价规则!$B$4+计价规则!$B$5*IF(H106="",0,LEN(H106)-LEN(SUBSTITUTE(H106,"、",""))+1)</f>
        <v>90</v>
      </c>
      <c r="N106" s="12"/>
      <c r="O106" s="12">
        <f>计价规则!$B$6</f>
        <v>100</v>
      </c>
      <c r="P106" s="12">
        <f>计价规则!$B$6</f>
        <v>100</v>
      </c>
      <c r="Q106" s="12">
        <f>计价规则!$B$6</f>
        <v>100</v>
      </c>
      <c r="R106" s="12">
        <f>计价规则!$B$7</f>
        <v>400</v>
      </c>
      <c r="S106" s="8" t="s">
        <v>26</v>
      </c>
      <c r="T106" s="13">
        <v>105</v>
      </c>
    </row>
    <row r="107" ht="26" customHeight="1" spans="1:20">
      <c r="A107" s="8">
        <f t="shared" si="1"/>
        <v>106</v>
      </c>
      <c r="B107" s="8" t="s">
        <v>289</v>
      </c>
      <c r="C107" s="9" t="s">
        <v>339</v>
      </c>
      <c r="D107" s="10" t="s">
        <v>340</v>
      </c>
      <c r="E107" s="11" t="s">
        <v>23</v>
      </c>
      <c r="F107" s="11"/>
      <c r="G107" s="10" t="s">
        <v>24</v>
      </c>
      <c r="H107" s="10" t="s">
        <v>198</v>
      </c>
      <c r="I107" s="10"/>
      <c r="J107" s="10"/>
      <c r="K107" s="10"/>
      <c r="L107" s="12">
        <f>计价规则!$B$2+计价规则!$B$3*MAX(0,IF(H107="",0,LEN(H107)-LEN(SUBSTITUTE(H107,"、",""))+1)-(IF(ISNUMBER(SEARCH("WiFi通信模块",H107)),1,0)+IF(ISNUMBER(SEARCH("ESP8266 WiFi模块",H107)),1,0)+IF(ISNUMBER(SEARCH("NRF24L01无线通信模块",H107)),1,0)+IF(ISNUMBER(SEARCH("蓝牙模块",H107)),1,0)+IF(ISNUMBER(SEARCH("语音识别模块",H107)),1,0)+IF(ISNUMBER(SEARCH("语音播报模块",H107)),1,0)+IF(ISNUMBER(SEARCH("RFID模块",H107)),1,0)+IF(ISNUMBER(SEARCH("RFID读卡模块",H107)),1,0)+IF(ISNUMBER(SEARCH("GPS定位模块",H107)),1,0)+IF(ISNUMBER(SEARCH("GSM通信模块",H107)),1,0)+IF(ISNUMBER(SEARCH("摄像头模块",H107)),1,0)+IF(ISNUMBER(SEARCH("人脸识别模块",H107)),1,0)+IF(ISNUMBER(SEARCH("手势识别传感器",H107)),1,0)))</f>
        <v>90</v>
      </c>
      <c r="M107" s="12">
        <f>计价规则!$B$4+计价规则!$B$5*IF(H107="",0,LEN(H107)-LEN(SUBSTITUTE(H107,"、",""))+1)</f>
        <v>90</v>
      </c>
      <c r="N107" s="12"/>
      <c r="O107" s="12">
        <f>计价规则!$B$6</f>
        <v>100</v>
      </c>
      <c r="P107" s="12">
        <f>计价规则!$B$6</f>
        <v>100</v>
      </c>
      <c r="Q107" s="12">
        <f>计价规则!$B$6</f>
        <v>100</v>
      </c>
      <c r="R107" s="12">
        <f>计价规则!$B$7</f>
        <v>400</v>
      </c>
      <c r="S107" s="8" t="s">
        <v>26</v>
      </c>
      <c r="T107" s="13">
        <v>106</v>
      </c>
    </row>
    <row r="108" ht="26" customHeight="1" spans="1:20">
      <c r="A108" s="8">
        <f t="shared" si="1"/>
        <v>107</v>
      </c>
      <c r="B108" s="8" t="s">
        <v>289</v>
      </c>
      <c r="C108" s="9" t="s">
        <v>341</v>
      </c>
      <c r="D108" s="10" t="s">
        <v>342</v>
      </c>
      <c r="E108" s="11" t="s">
        <v>23</v>
      </c>
      <c r="F108" s="11"/>
      <c r="G108" s="10" t="s">
        <v>54</v>
      </c>
      <c r="H108" s="10" t="s">
        <v>179</v>
      </c>
      <c r="I108" s="10"/>
      <c r="J108" s="10"/>
      <c r="K108" s="10"/>
      <c r="L108" s="12">
        <f>计价规则!$B$2+计价规则!$B$3*MAX(0,IF(H108="",0,LEN(H108)-LEN(SUBSTITUTE(H108,"、",""))+1)-(IF(ISNUMBER(SEARCH("WiFi通信模块",H108)),1,0)+IF(ISNUMBER(SEARCH("ESP8266 WiFi模块",H108)),1,0)+IF(ISNUMBER(SEARCH("NRF24L01无线通信模块",H108)),1,0)+IF(ISNUMBER(SEARCH("蓝牙模块",H108)),1,0)+IF(ISNUMBER(SEARCH("语音识别模块",H108)),1,0)+IF(ISNUMBER(SEARCH("语音播报模块",H108)),1,0)+IF(ISNUMBER(SEARCH("RFID模块",H108)),1,0)+IF(ISNUMBER(SEARCH("RFID读卡模块",H108)),1,0)+IF(ISNUMBER(SEARCH("GPS定位模块",H108)),1,0)+IF(ISNUMBER(SEARCH("GSM通信模块",H108)),1,0)+IF(ISNUMBER(SEARCH("摄像头模块",H108)),1,0)+IF(ISNUMBER(SEARCH("人脸识别模块",H108)),1,0)+IF(ISNUMBER(SEARCH("手势识别传感器",H108)),1,0)))</f>
        <v>90</v>
      </c>
      <c r="M108" s="12">
        <f>计价规则!$B$4+计价规则!$B$5*IF(H108="",0,LEN(H108)-LEN(SUBSTITUTE(H108,"、",""))+1)</f>
        <v>90</v>
      </c>
      <c r="N108" s="12"/>
      <c r="O108" s="12">
        <f>计价规则!$B$6</f>
        <v>100</v>
      </c>
      <c r="P108" s="12">
        <f>计价规则!$B$6</f>
        <v>100</v>
      </c>
      <c r="Q108" s="12">
        <f>计价规则!$B$6</f>
        <v>100</v>
      </c>
      <c r="R108" s="12">
        <f>计价规则!$B$7</f>
        <v>400</v>
      </c>
      <c r="S108" s="8" t="s">
        <v>26</v>
      </c>
      <c r="T108" s="13">
        <v>107</v>
      </c>
    </row>
    <row r="109" ht="26" customHeight="1" spans="1:20">
      <c r="A109" s="8">
        <f t="shared" si="1"/>
        <v>108</v>
      </c>
      <c r="B109" s="8" t="s">
        <v>289</v>
      </c>
      <c r="C109" s="9" t="s">
        <v>343</v>
      </c>
      <c r="D109" s="10" t="s">
        <v>344</v>
      </c>
      <c r="E109" s="11" t="s">
        <v>23</v>
      </c>
      <c r="F109" s="11"/>
      <c r="G109" s="10" t="s">
        <v>345</v>
      </c>
      <c r="H109" s="10" t="s">
        <v>124</v>
      </c>
      <c r="I109" s="10"/>
      <c r="J109" s="10"/>
      <c r="K109" s="10"/>
      <c r="L109" s="12">
        <f>计价规则!$B$2+计价规则!$B$3*MAX(0,IF(H109="",0,LEN(H109)-LEN(SUBSTITUTE(H109,"、",""))+1)-(IF(ISNUMBER(SEARCH("WiFi通信模块",H109)),1,0)+IF(ISNUMBER(SEARCH("ESP8266 WiFi模块",H109)),1,0)+IF(ISNUMBER(SEARCH("NRF24L01无线通信模块",H109)),1,0)+IF(ISNUMBER(SEARCH("蓝牙模块",H109)),1,0)+IF(ISNUMBER(SEARCH("语音识别模块",H109)),1,0)+IF(ISNUMBER(SEARCH("语音播报模块",H109)),1,0)+IF(ISNUMBER(SEARCH("RFID模块",H109)),1,0)+IF(ISNUMBER(SEARCH("RFID读卡模块",H109)),1,0)+IF(ISNUMBER(SEARCH("GPS定位模块",H109)),1,0)+IF(ISNUMBER(SEARCH("GSM通信模块",H109)),1,0)+IF(ISNUMBER(SEARCH("摄像头模块",H109)),1,0)+IF(ISNUMBER(SEARCH("人脸识别模块",H109)),1,0)+IF(ISNUMBER(SEARCH("手势识别传感器",H109)),1,0)))</f>
        <v>90</v>
      </c>
      <c r="M109" s="12">
        <f>计价规则!$B$4+计价规则!$B$5*IF(H109="",0,LEN(H109)-LEN(SUBSTITUTE(H109,"、",""))+1)</f>
        <v>90</v>
      </c>
      <c r="N109" s="12"/>
      <c r="O109" s="12">
        <f>计价规则!$B$6</f>
        <v>100</v>
      </c>
      <c r="P109" s="12">
        <f>计价规则!$B$6</f>
        <v>100</v>
      </c>
      <c r="Q109" s="12">
        <f>计价规则!$B$6</f>
        <v>100</v>
      </c>
      <c r="R109" s="12">
        <f>计价规则!$B$7</f>
        <v>400</v>
      </c>
      <c r="S109" s="8" t="s">
        <v>26</v>
      </c>
      <c r="T109" s="13">
        <v>108</v>
      </c>
    </row>
    <row r="110" ht="26" customHeight="1" spans="1:20">
      <c r="A110" s="8">
        <f t="shared" si="1"/>
        <v>109</v>
      </c>
      <c r="B110" s="8" t="s">
        <v>289</v>
      </c>
      <c r="C110" s="9" t="s">
        <v>346</v>
      </c>
      <c r="D110" s="10" t="s">
        <v>347</v>
      </c>
      <c r="E110" s="11" t="s">
        <v>23</v>
      </c>
      <c r="F110" s="11"/>
      <c r="G110" s="10" t="s">
        <v>58</v>
      </c>
      <c r="H110" s="10" t="s">
        <v>348</v>
      </c>
      <c r="I110" s="10"/>
      <c r="J110" s="10"/>
      <c r="K110" s="10"/>
      <c r="L110" s="12">
        <f>计价规则!$B$2+计价规则!$B$3*MAX(0,IF(H110="",0,LEN(H110)-LEN(SUBSTITUTE(H110,"、",""))+1)-(IF(ISNUMBER(SEARCH("WiFi通信模块",H110)),1,0)+IF(ISNUMBER(SEARCH("ESP8266 WiFi模块",H110)),1,0)+IF(ISNUMBER(SEARCH("NRF24L01无线通信模块",H110)),1,0)+IF(ISNUMBER(SEARCH("蓝牙模块",H110)),1,0)+IF(ISNUMBER(SEARCH("语音识别模块",H110)),1,0)+IF(ISNUMBER(SEARCH("语音播报模块",H110)),1,0)+IF(ISNUMBER(SEARCH("RFID模块",H110)),1,0)+IF(ISNUMBER(SEARCH("RFID读卡模块",H110)),1,0)+IF(ISNUMBER(SEARCH("GPS定位模块",H110)),1,0)+IF(ISNUMBER(SEARCH("GSM通信模块",H110)),1,0)+IF(ISNUMBER(SEARCH("摄像头模块",H110)),1,0)+IF(ISNUMBER(SEARCH("人脸识别模块",H110)),1,0)+IF(ISNUMBER(SEARCH("手势识别传感器",H110)),1,0)))</f>
        <v>75</v>
      </c>
      <c r="M110" s="12">
        <f>计价规则!$B$4+计价规则!$B$5*IF(H110="",0,LEN(H110)-LEN(SUBSTITUTE(H110,"、",""))+1)</f>
        <v>70</v>
      </c>
      <c r="N110" s="12"/>
      <c r="O110" s="12">
        <f>计价规则!$B$6</f>
        <v>100</v>
      </c>
      <c r="P110" s="12">
        <f>计价规则!$B$6</f>
        <v>100</v>
      </c>
      <c r="Q110" s="12">
        <f>计价规则!$B$6</f>
        <v>100</v>
      </c>
      <c r="R110" s="12">
        <f>计价规则!$B$7</f>
        <v>400</v>
      </c>
      <c r="S110" s="8" t="s">
        <v>26</v>
      </c>
      <c r="T110" s="13">
        <v>109</v>
      </c>
    </row>
    <row r="111" ht="26" customHeight="1" spans="1:20">
      <c r="A111" s="8">
        <f t="shared" si="1"/>
        <v>110</v>
      </c>
      <c r="B111" s="8" t="s">
        <v>289</v>
      </c>
      <c r="C111" s="9" t="s">
        <v>349</v>
      </c>
      <c r="D111" s="10" t="s">
        <v>350</v>
      </c>
      <c r="E111" s="11" t="s">
        <v>23</v>
      </c>
      <c r="F111" s="11"/>
      <c r="G111" s="10" t="s">
        <v>24</v>
      </c>
      <c r="H111" s="10" t="s">
        <v>351</v>
      </c>
      <c r="I111" s="10"/>
      <c r="J111" s="10"/>
      <c r="K111" s="10"/>
      <c r="L111" s="12">
        <f>计价规则!$B$2+计价规则!$B$3*MAX(0,IF(H111="",0,LEN(H111)-LEN(SUBSTITUTE(H111,"、",""))+1)-(IF(ISNUMBER(SEARCH("WiFi通信模块",H111)),1,0)+IF(ISNUMBER(SEARCH("ESP8266 WiFi模块",H111)),1,0)+IF(ISNUMBER(SEARCH("NRF24L01无线通信模块",H111)),1,0)+IF(ISNUMBER(SEARCH("蓝牙模块",H111)),1,0)+IF(ISNUMBER(SEARCH("语音识别模块",H111)),1,0)+IF(ISNUMBER(SEARCH("语音播报模块",H111)),1,0)+IF(ISNUMBER(SEARCH("RFID模块",H111)),1,0)+IF(ISNUMBER(SEARCH("RFID读卡模块",H111)),1,0)+IF(ISNUMBER(SEARCH("GPS定位模块",H111)),1,0)+IF(ISNUMBER(SEARCH("GSM通信模块",H111)),1,0)+IF(ISNUMBER(SEARCH("摄像头模块",H111)),1,0)+IF(ISNUMBER(SEARCH("人脸识别模块",H111)),1,0)+IF(ISNUMBER(SEARCH("手势识别传感器",H111)),1,0)))</f>
        <v>105</v>
      </c>
      <c r="M111" s="12">
        <f>计价规则!$B$4+计价规则!$B$5*IF(H111="",0,LEN(H111)-LEN(SUBSTITUTE(H111,"、",""))+1)</f>
        <v>110</v>
      </c>
      <c r="N111" s="12"/>
      <c r="O111" s="12">
        <f>计价规则!$B$6</f>
        <v>100</v>
      </c>
      <c r="P111" s="12">
        <f>计价规则!$B$6</f>
        <v>100</v>
      </c>
      <c r="Q111" s="12">
        <f>计价规则!$B$6</f>
        <v>100</v>
      </c>
      <c r="R111" s="12">
        <f>计价规则!$B$7</f>
        <v>400</v>
      </c>
      <c r="S111" s="8" t="s">
        <v>26</v>
      </c>
      <c r="T111" s="13">
        <v>110</v>
      </c>
    </row>
    <row r="112" ht="26" customHeight="1" spans="1:20">
      <c r="A112" s="8">
        <f t="shared" si="1"/>
        <v>111</v>
      </c>
      <c r="B112" s="8" t="s">
        <v>289</v>
      </c>
      <c r="C112" s="9" t="s">
        <v>352</v>
      </c>
      <c r="D112" s="10" t="s">
        <v>353</v>
      </c>
      <c r="E112" s="11" t="s">
        <v>23</v>
      </c>
      <c r="F112" s="11"/>
      <c r="G112" s="10" t="s">
        <v>332</v>
      </c>
      <c r="H112" s="10" t="s">
        <v>354</v>
      </c>
      <c r="I112" s="10"/>
      <c r="J112" s="10"/>
      <c r="K112" s="10"/>
      <c r="L112" s="12">
        <f>计价规则!$B$2+计价规则!$B$3*MAX(0,IF(H112="",0,LEN(H112)-LEN(SUBSTITUTE(H112,"、",""))+1)-(IF(ISNUMBER(SEARCH("WiFi通信模块",H112)),1,0)+IF(ISNUMBER(SEARCH("ESP8266 WiFi模块",H112)),1,0)+IF(ISNUMBER(SEARCH("NRF24L01无线通信模块",H112)),1,0)+IF(ISNUMBER(SEARCH("蓝牙模块",H112)),1,0)+IF(ISNUMBER(SEARCH("语音识别模块",H112)),1,0)+IF(ISNUMBER(SEARCH("语音播报模块",H112)),1,0)+IF(ISNUMBER(SEARCH("RFID模块",H112)),1,0)+IF(ISNUMBER(SEARCH("RFID读卡模块",H112)),1,0)+IF(ISNUMBER(SEARCH("GPS定位模块",H112)),1,0)+IF(ISNUMBER(SEARCH("GSM通信模块",H112)),1,0)+IF(ISNUMBER(SEARCH("摄像头模块",H112)),1,0)+IF(ISNUMBER(SEARCH("人脸识别模块",H112)),1,0)+IF(ISNUMBER(SEARCH("手势识别传感器",H112)),1,0)))</f>
        <v>90</v>
      </c>
      <c r="M112" s="12">
        <f>计价规则!$B$4+计价规则!$B$5*IF(H112="",0,LEN(H112)-LEN(SUBSTITUTE(H112,"、",""))+1)</f>
        <v>90</v>
      </c>
      <c r="N112" s="12"/>
      <c r="O112" s="12">
        <f>计价规则!$B$6</f>
        <v>100</v>
      </c>
      <c r="P112" s="12">
        <f>计价规则!$B$6</f>
        <v>100</v>
      </c>
      <c r="Q112" s="12">
        <f>计价规则!$B$6</f>
        <v>100</v>
      </c>
      <c r="R112" s="12">
        <f>计价规则!$B$7</f>
        <v>400</v>
      </c>
      <c r="S112" s="8" t="s">
        <v>26</v>
      </c>
      <c r="T112" s="13">
        <v>111</v>
      </c>
    </row>
    <row r="113" ht="26" customHeight="1" spans="1:20">
      <c r="A113" s="8">
        <f t="shared" si="1"/>
        <v>112</v>
      </c>
      <c r="B113" s="8" t="s">
        <v>289</v>
      </c>
      <c r="C113" s="9" t="s">
        <v>355</v>
      </c>
      <c r="D113" s="10" t="s">
        <v>356</v>
      </c>
      <c r="E113" s="11" t="s">
        <v>23</v>
      </c>
      <c r="F113" s="11"/>
      <c r="G113" s="10" t="s">
        <v>24</v>
      </c>
      <c r="H113" s="10" t="s">
        <v>357</v>
      </c>
      <c r="I113" s="10"/>
      <c r="J113" s="10"/>
      <c r="K113" s="10"/>
      <c r="L113" s="12">
        <f>计价规则!$B$2+计价规则!$B$3*MAX(0,IF(H113="",0,LEN(H113)-LEN(SUBSTITUTE(H113,"、",""))+1)-(IF(ISNUMBER(SEARCH("WiFi通信模块",H113)),1,0)+IF(ISNUMBER(SEARCH("ESP8266 WiFi模块",H113)),1,0)+IF(ISNUMBER(SEARCH("NRF24L01无线通信模块",H113)),1,0)+IF(ISNUMBER(SEARCH("蓝牙模块",H113)),1,0)+IF(ISNUMBER(SEARCH("语音识别模块",H113)),1,0)+IF(ISNUMBER(SEARCH("语音播报模块",H113)),1,0)+IF(ISNUMBER(SEARCH("RFID模块",H113)),1,0)+IF(ISNUMBER(SEARCH("RFID读卡模块",H113)),1,0)+IF(ISNUMBER(SEARCH("GPS定位模块",H113)),1,0)+IF(ISNUMBER(SEARCH("GSM通信模块",H113)),1,0)+IF(ISNUMBER(SEARCH("摄像头模块",H113)),1,0)+IF(ISNUMBER(SEARCH("人脸识别模块",H113)),1,0)+IF(ISNUMBER(SEARCH("手势识别传感器",H113)),1,0)))</f>
        <v>105</v>
      </c>
      <c r="M113" s="12">
        <f>计价规则!$B$4+计价规则!$B$5*IF(H113="",0,LEN(H113)-LEN(SUBSTITUTE(H113,"、",""))+1)</f>
        <v>110</v>
      </c>
      <c r="N113" s="12"/>
      <c r="O113" s="12">
        <f>计价规则!$B$6</f>
        <v>100</v>
      </c>
      <c r="P113" s="12">
        <f>计价规则!$B$6</f>
        <v>100</v>
      </c>
      <c r="Q113" s="12">
        <f>计价规则!$B$6</f>
        <v>100</v>
      </c>
      <c r="R113" s="12">
        <f>计价规则!$B$7</f>
        <v>400</v>
      </c>
      <c r="S113" s="8" t="s">
        <v>26</v>
      </c>
      <c r="T113" s="13">
        <v>112</v>
      </c>
    </row>
    <row r="114" ht="26" customHeight="1" spans="1:20">
      <c r="A114" s="8">
        <f t="shared" si="1"/>
        <v>113</v>
      </c>
      <c r="B114" s="8" t="s">
        <v>289</v>
      </c>
      <c r="C114" s="9" t="s">
        <v>358</v>
      </c>
      <c r="D114" s="10" t="s">
        <v>359</v>
      </c>
      <c r="E114" s="11" t="s">
        <v>23</v>
      </c>
      <c r="F114" s="11"/>
      <c r="G114" s="10" t="s">
        <v>24</v>
      </c>
      <c r="H114" s="10" t="s">
        <v>360</v>
      </c>
      <c r="I114" s="10"/>
      <c r="J114" s="10"/>
      <c r="K114" s="10"/>
      <c r="L114" s="12">
        <f>计价规则!$B$2+计价规则!$B$3*MAX(0,IF(H114="",0,LEN(H114)-LEN(SUBSTITUTE(H114,"、",""))+1)-(IF(ISNUMBER(SEARCH("WiFi通信模块",H114)),1,0)+IF(ISNUMBER(SEARCH("ESP8266 WiFi模块",H114)),1,0)+IF(ISNUMBER(SEARCH("NRF24L01无线通信模块",H114)),1,0)+IF(ISNUMBER(SEARCH("蓝牙模块",H114)),1,0)+IF(ISNUMBER(SEARCH("语音识别模块",H114)),1,0)+IF(ISNUMBER(SEARCH("语音播报模块",H114)),1,0)+IF(ISNUMBER(SEARCH("RFID模块",H114)),1,0)+IF(ISNUMBER(SEARCH("RFID读卡模块",H114)),1,0)+IF(ISNUMBER(SEARCH("GPS定位模块",H114)),1,0)+IF(ISNUMBER(SEARCH("GSM通信模块",H114)),1,0)+IF(ISNUMBER(SEARCH("摄像头模块",H114)),1,0)+IF(ISNUMBER(SEARCH("人脸识别模块",H114)),1,0)+IF(ISNUMBER(SEARCH("手势识别传感器",H114)),1,0)))</f>
        <v>75</v>
      </c>
      <c r="M114" s="12">
        <f>计价规则!$B$4+计价规则!$B$5*IF(H114="",0,LEN(H114)-LEN(SUBSTITUTE(H114,"、",""))+1)</f>
        <v>70</v>
      </c>
      <c r="N114" s="12"/>
      <c r="O114" s="12">
        <f>计价规则!$B$6</f>
        <v>100</v>
      </c>
      <c r="P114" s="12">
        <f>计价规则!$B$6</f>
        <v>100</v>
      </c>
      <c r="Q114" s="12">
        <f>计价规则!$B$6</f>
        <v>100</v>
      </c>
      <c r="R114" s="12">
        <f>计价规则!$B$7</f>
        <v>400</v>
      </c>
      <c r="S114" s="8" t="s">
        <v>26</v>
      </c>
      <c r="T114" s="13">
        <v>113</v>
      </c>
    </row>
    <row r="115" ht="26" customHeight="1" spans="1:20">
      <c r="A115" s="8">
        <f t="shared" si="1"/>
        <v>114</v>
      </c>
      <c r="B115" s="8" t="s">
        <v>289</v>
      </c>
      <c r="C115" s="9" t="s">
        <v>361</v>
      </c>
      <c r="D115" s="10" t="s">
        <v>362</v>
      </c>
      <c r="E115" s="11" t="s">
        <v>23</v>
      </c>
      <c r="F115" s="11"/>
      <c r="G115" s="10" t="s">
        <v>24</v>
      </c>
      <c r="H115" s="10" t="s">
        <v>363</v>
      </c>
      <c r="I115" s="10"/>
      <c r="J115" s="10"/>
      <c r="K115" s="10"/>
      <c r="L115" s="12">
        <f>计价规则!$B$2+计价规则!$B$3*MAX(0,IF(H115="",0,LEN(H115)-LEN(SUBSTITUTE(H115,"、",""))+1)-(IF(ISNUMBER(SEARCH("WiFi通信模块",H115)),1,0)+IF(ISNUMBER(SEARCH("ESP8266 WiFi模块",H115)),1,0)+IF(ISNUMBER(SEARCH("NRF24L01无线通信模块",H115)),1,0)+IF(ISNUMBER(SEARCH("蓝牙模块",H115)),1,0)+IF(ISNUMBER(SEARCH("语音识别模块",H115)),1,0)+IF(ISNUMBER(SEARCH("语音播报模块",H115)),1,0)+IF(ISNUMBER(SEARCH("RFID模块",H115)),1,0)+IF(ISNUMBER(SEARCH("RFID读卡模块",H115)),1,0)+IF(ISNUMBER(SEARCH("GPS定位模块",H115)),1,0)+IF(ISNUMBER(SEARCH("GSM通信模块",H115)),1,0)+IF(ISNUMBER(SEARCH("摄像头模块",H115)),1,0)+IF(ISNUMBER(SEARCH("人脸识别模块",H115)),1,0)+IF(ISNUMBER(SEARCH("手势识别传感器",H115)),1,0)))</f>
        <v>90</v>
      </c>
      <c r="M115" s="12">
        <f>计价规则!$B$4+计价规则!$B$5*IF(H115="",0,LEN(H115)-LEN(SUBSTITUTE(H115,"、",""))+1)</f>
        <v>90</v>
      </c>
      <c r="N115" s="12"/>
      <c r="O115" s="12">
        <f>计价规则!$B$6</f>
        <v>100</v>
      </c>
      <c r="P115" s="12">
        <f>计价规则!$B$6</f>
        <v>100</v>
      </c>
      <c r="Q115" s="12">
        <f>计价规则!$B$6</f>
        <v>100</v>
      </c>
      <c r="R115" s="12">
        <f>计价规则!$B$7</f>
        <v>400</v>
      </c>
      <c r="S115" s="8" t="s">
        <v>26</v>
      </c>
      <c r="T115" s="13">
        <v>114</v>
      </c>
    </row>
    <row r="116" ht="26" customHeight="1" spans="1:20">
      <c r="A116" s="8">
        <f t="shared" si="1"/>
        <v>115</v>
      </c>
      <c r="B116" s="8" t="s">
        <v>289</v>
      </c>
      <c r="C116" s="9" t="s">
        <v>364</v>
      </c>
      <c r="D116" s="10" t="s">
        <v>365</v>
      </c>
      <c r="E116" s="11" t="s">
        <v>23</v>
      </c>
      <c r="F116" s="11"/>
      <c r="G116" s="10" t="s">
        <v>366</v>
      </c>
      <c r="H116" s="10" t="s">
        <v>367</v>
      </c>
      <c r="I116" s="10"/>
      <c r="J116" s="10"/>
      <c r="K116" s="10"/>
      <c r="L116" s="12">
        <f>计价规则!$B$2+计价规则!$B$3*MAX(0,IF(H116="",0,LEN(H116)-LEN(SUBSTITUTE(H116,"、",""))+1)-(IF(ISNUMBER(SEARCH("WiFi通信模块",H116)),1,0)+IF(ISNUMBER(SEARCH("ESP8266 WiFi模块",H116)),1,0)+IF(ISNUMBER(SEARCH("NRF24L01无线通信模块",H116)),1,0)+IF(ISNUMBER(SEARCH("蓝牙模块",H116)),1,0)+IF(ISNUMBER(SEARCH("语音识别模块",H116)),1,0)+IF(ISNUMBER(SEARCH("语音播报模块",H116)),1,0)+IF(ISNUMBER(SEARCH("RFID模块",H116)),1,0)+IF(ISNUMBER(SEARCH("RFID读卡模块",H116)),1,0)+IF(ISNUMBER(SEARCH("GPS定位模块",H116)),1,0)+IF(ISNUMBER(SEARCH("GSM通信模块",H116)),1,0)+IF(ISNUMBER(SEARCH("摄像头模块",H116)),1,0)+IF(ISNUMBER(SEARCH("人脸识别模块",H116)),1,0)+IF(ISNUMBER(SEARCH("手势识别传感器",H116)),1,0)))</f>
        <v>105</v>
      </c>
      <c r="M116" s="12">
        <f>计价规则!$B$4+计价规则!$B$5*IF(H116="",0,LEN(H116)-LEN(SUBSTITUTE(H116,"、",""))+1)</f>
        <v>110</v>
      </c>
      <c r="N116" s="12"/>
      <c r="O116" s="12">
        <f>计价规则!$B$6</f>
        <v>100</v>
      </c>
      <c r="P116" s="12">
        <f>计价规则!$B$6</f>
        <v>100</v>
      </c>
      <c r="Q116" s="12">
        <f>计价规则!$B$6</f>
        <v>100</v>
      </c>
      <c r="R116" s="12">
        <f>计价规则!$B$7</f>
        <v>400</v>
      </c>
      <c r="S116" s="8" t="s">
        <v>26</v>
      </c>
      <c r="T116" s="13">
        <v>115</v>
      </c>
    </row>
    <row r="117" ht="26" customHeight="1" spans="1:20">
      <c r="A117" s="8">
        <f t="shared" si="1"/>
        <v>116</v>
      </c>
      <c r="B117" s="8" t="s">
        <v>289</v>
      </c>
      <c r="C117" s="9" t="s">
        <v>368</v>
      </c>
      <c r="D117" s="10" t="s">
        <v>369</v>
      </c>
      <c r="E117" s="11" t="s">
        <v>23</v>
      </c>
      <c r="F117" s="11"/>
      <c r="G117" s="10" t="s">
        <v>24</v>
      </c>
      <c r="H117" s="10" t="s">
        <v>370</v>
      </c>
      <c r="I117" s="10"/>
      <c r="J117" s="10"/>
      <c r="K117" s="10"/>
      <c r="L117" s="12">
        <f>计价规则!$B$2+计价规则!$B$3*MAX(0,IF(H117="",0,LEN(H117)-LEN(SUBSTITUTE(H117,"、",""))+1)-(IF(ISNUMBER(SEARCH("WiFi通信模块",H117)),1,0)+IF(ISNUMBER(SEARCH("ESP8266 WiFi模块",H117)),1,0)+IF(ISNUMBER(SEARCH("NRF24L01无线通信模块",H117)),1,0)+IF(ISNUMBER(SEARCH("蓝牙模块",H117)),1,0)+IF(ISNUMBER(SEARCH("语音识别模块",H117)),1,0)+IF(ISNUMBER(SEARCH("语音播报模块",H117)),1,0)+IF(ISNUMBER(SEARCH("RFID模块",H117)),1,0)+IF(ISNUMBER(SEARCH("RFID读卡模块",H117)),1,0)+IF(ISNUMBER(SEARCH("GPS定位模块",H117)),1,0)+IF(ISNUMBER(SEARCH("GSM通信模块",H117)),1,0)+IF(ISNUMBER(SEARCH("摄像头模块",H117)),1,0)+IF(ISNUMBER(SEARCH("人脸识别模块",H117)),1,0)+IF(ISNUMBER(SEARCH("手势识别传感器",H117)),1,0)))</f>
        <v>105</v>
      </c>
      <c r="M117" s="12">
        <f>计价规则!$B$4+计价规则!$B$5*IF(H117="",0,LEN(H117)-LEN(SUBSTITUTE(H117,"、",""))+1)</f>
        <v>110</v>
      </c>
      <c r="N117" s="12"/>
      <c r="O117" s="12">
        <f>计价规则!$B$6</f>
        <v>100</v>
      </c>
      <c r="P117" s="12">
        <f>计价规则!$B$6</f>
        <v>100</v>
      </c>
      <c r="Q117" s="12">
        <f>计价规则!$B$6</f>
        <v>100</v>
      </c>
      <c r="R117" s="12">
        <f>计价规则!$B$7</f>
        <v>400</v>
      </c>
      <c r="S117" s="8" t="s">
        <v>26</v>
      </c>
      <c r="T117" s="13">
        <v>116</v>
      </c>
    </row>
    <row r="118" ht="26" customHeight="1" spans="1:20">
      <c r="A118" s="8">
        <f t="shared" si="1"/>
        <v>117</v>
      </c>
      <c r="B118" s="8" t="s">
        <v>289</v>
      </c>
      <c r="C118" s="9" t="s">
        <v>371</v>
      </c>
      <c r="D118" s="10" t="s">
        <v>372</v>
      </c>
      <c r="E118" s="11" t="s">
        <v>23</v>
      </c>
      <c r="F118" s="11"/>
      <c r="G118" s="10" t="s">
        <v>24</v>
      </c>
      <c r="H118" s="10" t="s">
        <v>66</v>
      </c>
      <c r="I118" s="10"/>
      <c r="J118" s="10"/>
      <c r="K118" s="10"/>
      <c r="L118" s="12">
        <f>计价规则!$B$2+计价规则!$B$3*MAX(0,IF(H118="",0,LEN(H118)-LEN(SUBSTITUTE(H118,"、",""))+1)-(IF(ISNUMBER(SEARCH("WiFi通信模块",H118)),1,0)+IF(ISNUMBER(SEARCH("ESP8266 WiFi模块",H118)),1,0)+IF(ISNUMBER(SEARCH("NRF24L01无线通信模块",H118)),1,0)+IF(ISNUMBER(SEARCH("蓝牙模块",H118)),1,0)+IF(ISNUMBER(SEARCH("语音识别模块",H118)),1,0)+IF(ISNUMBER(SEARCH("语音播报模块",H118)),1,0)+IF(ISNUMBER(SEARCH("RFID模块",H118)),1,0)+IF(ISNUMBER(SEARCH("RFID读卡模块",H118)),1,0)+IF(ISNUMBER(SEARCH("GPS定位模块",H118)),1,0)+IF(ISNUMBER(SEARCH("GSM通信模块",H118)),1,0)+IF(ISNUMBER(SEARCH("摄像头模块",H118)),1,0)+IF(ISNUMBER(SEARCH("人脸识别模块",H118)),1,0)+IF(ISNUMBER(SEARCH("手势识别传感器",H118)),1,0)))</f>
        <v>90</v>
      </c>
      <c r="M118" s="12">
        <f>计价规则!$B$4+计价规则!$B$5*IF(H118="",0,LEN(H118)-LEN(SUBSTITUTE(H118,"、",""))+1)</f>
        <v>90</v>
      </c>
      <c r="N118" s="12"/>
      <c r="O118" s="12">
        <f>计价规则!$B$6</f>
        <v>100</v>
      </c>
      <c r="P118" s="12">
        <f>计价规则!$B$6</f>
        <v>100</v>
      </c>
      <c r="Q118" s="12">
        <f>计价规则!$B$6</f>
        <v>100</v>
      </c>
      <c r="R118" s="12">
        <f>计价规则!$B$7</f>
        <v>400</v>
      </c>
      <c r="S118" s="8" t="s">
        <v>26</v>
      </c>
      <c r="T118" s="13">
        <v>117</v>
      </c>
    </row>
    <row r="119" ht="26" customHeight="1" spans="1:20">
      <c r="A119" s="8">
        <f t="shared" si="1"/>
        <v>118</v>
      </c>
      <c r="B119" s="8" t="s">
        <v>289</v>
      </c>
      <c r="C119" s="9" t="s">
        <v>373</v>
      </c>
      <c r="D119" s="10" t="s">
        <v>374</v>
      </c>
      <c r="E119" s="11" t="s">
        <v>23</v>
      </c>
      <c r="F119" s="11"/>
      <c r="G119" s="10" t="s">
        <v>24</v>
      </c>
      <c r="H119" s="10" t="s">
        <v>375</v>
      </c>
      <c r="I119" s="10"/>
      <c r="J119" s="10"/>
      <c r="K119" s="10"/>
      <c r="L119" s="12">
        <f>计价规则!$B$2+计价规则!$B$3*MAX(0,IF(H119="",0,LEN(H119)-LEN(SUBSTITUTE(H119,"、",""))+1)-(IF(ISNUMBER(SEARCH("WiFi通信模块",H119)),1,0)+IF(ISNUMBER(SEARCH("ESP8266 WiFi模块",H119)),1,0)+IF(ISNUMBER(SEARCH("NRF24L01无线通信模块",H119)),1,0)+IF(ISNUMBER(SEARCH("蓝牙模块",H119)),1,0)+IF(ISNUMBER(SEARCH("语音识别模块",H119)),1,0)+IF(ISNUMBER(SEARCH("语音播报模块",H119)),1,0)+IF(ISNUMBER(SEARCH("RFID模块",H119)),1,0)+IF(ISNUMBER(SEARCH("RFID读卡模块",H119)),1,0)+IF(ISNUMBER(SEARCH("GPS定位模块",H119)),1,0)+IF(ISNUMBER(SEARCH("GSM通信模块",H119)),1,0)+IF(ISNUMBER(SEARCH("摄像头模块",H119)),1,0)+IF(ISNUMBER(SEARCH("人脸识别模块",H119)),1,0)+IF(ISNUMBER(SEARCH("手势识别传感器",H119)),1,0)))</f>
        <v>90</v>
      </c>
      <c r="M119" s="12">
        <f>计价规则!$B$4+计价规则!$B$5*IF(H119="",0,LEN(H119)-LEN(SUBSTITUTE(H119,"、",""))+1)</f>
        <v>90</v>
      </c>
      <c r="N119" s="12"/>
      <c r="O119" s="12">
        <f>计价规则!$B$6</f>
        <v>100</v>
      </c>
      <c r="P119" s="12">
        <f>计价规则!$B$6</f>
        <v>100</v>
      </c>
      <c r="Q119" s="12">
        <f>计价规则!$B$6</f>
        <v>100</v>
      </c>
      <c r="R119" s="12">
        <f>计价规则!$B$7</f>
        <v>400</v>
      </c>
      <c r="S119" s="8" t="s">
        <v>26</v>
      </c>
      <c r="T119" s="13">
        <v>118</v>
      </c>
    </row>
    <row r="120" ht="26" customHeight="1" spans="1:20">
      <c r="A120" s="8">
        <f t="shared" si="1"/>
        <v>119</v>
      </c>
      <c r="B120" s="8" t="s">
        <v>289</v>
      </c>
      <c r="C120" s="9" t="s">
        <v>376</v>
      </c>
      <c r="D120" s="10" t="s">
        <v>377</v>
      </c>
      <c r="E120" s="11" t="s">
        <v>23</v>
      </c>
      <c r="F120" s="11"/>
      <c r="G120" s="10" t="s">
        <v>131</v>
      </c>
      <c r="H120" s="10" t="s">
        <v>132</v>
      </c>
      <c r="I120" s="10"/>
      <c r="J120" s="10"/>
      <c r="K120" s="10"/>
      <c r="L120" s="12">
        <f>计价规则!$B$2+计价规则!$B$3*MAX(0,IF(H120="",0,LEN(H120)-LEN(SUBSTITUTE(H120,"、",""))+1)-(IF(ISNUMBER(SEARCH("WiFi通信模块",H120)),1,0)+IF(ISNUMBER(SEARCH("ESP8266 WiFi模块",H120)),1,0)+IF(ISNUMBER(SEARCH("NRF24L01无线通信模块",H120)),1,0)+IF(ISNUMBER(SEARCH("蓝牙模块",H120)),1,0)+IF(ISNUMBER(SEARCH("语音识别模块",H120)),1,0)+IF(ISNUMBER(SEARCH("语音播报模块",H120)),1,0)+IF(ISNUMBER(SEARCH("RFID模块",H120)),1,0)+IF(ISNUMBER(SEARCH("RFID读卡模块",H120)),1,0)+IF(ISNUMBER(SEARCH("GPS定位模块",H120)),1,0)+IF(ISNUMBER(SEARCH("GSM通信模块",H120)),1,0)+IF(ISNUMBER(SEARCH("摄像头模块",H120)),1,0)+IF(ISNUMBER(SEARCH("人脸识别模块",H120)),1,0)+IF(ISNUMBER(SEARCH("手势识别传感器",H120)),1,0)))</f>
        <v>90</v>
      </c>
      <c r="M120" s="12">
        <f>计价规则!$B$4+计价规则!$B$5*IF(H120="",0,LEN(H120)-LEN(SUBSTITUTE(H120,"、",""))+1)</f>
        <v>90</v>
      </c>
      <c r="N120" s="12"/>
      <c r="O120" s="12">
        <f>计价规则!$B$6</f>
        <v>100</v>
      </c>
      <c r="P120" s="12">
        <f>计价规则!$B$6</f>
        <v>100</v>
      </c>
      <c r="Q120" s="12">
        <f>计价规则!$B$6</f>
        <v>100</v>
      </c>
      <c r="R120" s="12">
        <f>计价规则!$B$7</f>
        <v>400</v>
      </c>
      <c r="S120" s="8" t="s">
        <v>26</v>
      </c>
      <c r="T120" s="13">
        <v>119</v>
      </c>
    </row>
    <row r="121" ht="26" customHeight="1" spans="1:20">
      <c r="A121" s="8">
        <f t="shared" si="1"/>
        <v>120</v>
      </c>
      <c r="B121" s="8" t="s">
        <v>289</v>
      </c>
      <c r="C121" s="9" t="s">
        <v>378</v>
      </c>
      <c r="D121" s="10" t="s">
        <v>379</v>
      </c>
      <c r="E121" s="11" t="s">
        <v>23</v>
      </c>
      <c r="F121" s="11"/>
      <c r="G121" s="10" t="s">
        <v>185</v>
      </c>
      <c r="H121" s="10" t="s">
        <v>380</v>
      </c>
      <c r="I121" s="10"/>
      <c r="J121" s="10"/>
      <c r="K121" s="10"/>
      <c r="L121" s="12">
        <f>计价规则!$B$2+计价规则!$B$3*MAX(0,IF(H121="",0,LEN(H121)-LEN(SUBSTITUTE(H121,"、",""))+1)-(IF(ISNUMBER(SEARCH("WiFi通信模块",H121)),1,0)+IF(ISNUMBER(SEARCH("ESP8266 WiFi模块",H121)),1,0)+IF(ISNUMBER(SEARCH("NRF24L01无线通信模块",H121)),1,0)+IF(ISNUMBER(SEARCH("蓝牙模块",H121)),1,0)+IF(ISNUMBER(SEARCH("语音识别模块",H121)),1,0)+IF(ISNUMBER(SEARCH("语音播报模块",H121)),1,0)+IF(ISNUMBER(SEARCH("RFID模块",H121)),1,0)+IF(ISNUMBER(SEARCH("RFID读卡模块",H121)),1,0)+IF(ISNUMBER(SEARCH("GPS定位模块",H121)),1,0)+IF(ISNUMBER(SEARCH("GSM通信模块",H121)),1,0)+IF(ISNUMBER(SEARCH("摄像头模块",H121)),1,0)+IF(ISNUMBER(SEARCH("人脸识别模块",H121)),1,0)+IF(ISNUMBER(SEARCH("手势识别传感器",H121)),1,0)))</f>
        <v>90</v>
      </c>
      <c r="M121" s="12">
        <f>计价规则!$B$4+计价规则!$B$5*IF(H121="",0,LEN(H121)-LEN(SUBSTITUTE(H121,"、",""))+1)</f>
        <v>90</v>
      </c>
      <c r="N121" s="12"/>
      <c r="O121" s="12">
        <f>计价规则!$B$6</f>
        <v>100</v>
      </c>
      <c r="P121" s="12">
        <f>计价规则!$B$6</f>
        <v>100</v>
      </c>
      <c r="Q121" s="12">
        <f>计价规则!$B$6</f>
        <v>100</v>
      </c>
      <c r="R121" s="12">
        <f>计价规则!$B$7</f>
        <v>400</v>
      </c>
      <c r="S121" s="8" t="s">
        <v>26</v>
      </c>
      <c r="T121" s="13">
        <v>120</v>
      </c>
    </row>
    <row r="122" ht="26" customHeight="1" spans="1:20">
      <c r="A122" s="8">
        <f t="shared" si="1"/>
        <v>121</v>
      </c>
      <c r="B122" s="8" t="s">
        <v>289</v>
      </c>
      <c r="C122" s="9" t="s">
        <v>381</v>
      </c>
      <c r="D122" s="10" t="s">
        <v>382</v>
      </c>
      <c r="E122" s="11" t="s">
        <v>23</v>
      </c>
      <c r="F122" s="11"/>
      <c r="G122" s="10" t="s">
        <v>146</v>
      </c>
      <c r="H122" s="10" t="s">
        <v>383</v>
      </c>
      <c r="I122" s="10"/>
      <c r="J122" s="10"/>
      <c r="K122" s="10"/>
      <c r="L122" s="12">
        <f>计价规则!$B$2+计价规则!$B$3*MAX(0,IF(H122="",0,LEN(H122)-LEN(SUBSTITUTE(H122,"、",""))+1)-(IF(ISNUMBER(SEARCH("WiFi通信模块",H122)),1,0)+IF(ISNUMBER(SEARCH("ESP8266 WiFi模块",H122)),1,0)+IF(ISNUMBER(SEARCH("NRF24L01无线通信模块",H122)),1,0)+IF(ISNUMBER(SEARCH("蓝牙模块",H122)),1,0)+IF(ISNUMBER(SEARCH("语音识别模块",H122)),1,0)+IF(ISNUMBER(SEARCH("语音播报模块",H122)),1,0)+IF(ISNUMBER(SEARCH("RFID模块",H122)),1,0)+IF(ISNUMBER(SEARCH("RFID读卡模块",H122)),1,0)+IF(ISNUMBER(SEARCH("GPS定位模块",H122)),1,0)+IF(ISNUMBER(SEARCH("GSM通信模块",H122)),1,0)+IF(ISNUMBER(SEARCH("摄像头模块",H122)),1,0)+IF(ISNUMBER(SEARCH("人脸识别模块",H122)),1,0)+IF(ISNUMBER(SEARCH("手势识别传感器",H122)),1,0)))</f>
        <v>90</v>
      </c>
      <c r="M122" s="12">
        <f>计价规则!$B$4+计价规则!$B$5*IF(H122="",0,LEN(H122)-LEN(SUBSTITUTE(H122,"、",""))+1)</f>
        <v>90</v>
      </c>
      <c r="N122" s="12"/>
      <c r="O122" s="12">
        <f>计价规则!$B$6</f>
        <v>100</v>
      </c>
      <c r="P122" s="12">
        <f>计价规则!$B$6</f>
        <v>100</v>
      </c>
      <c r="Q122" s="12">
        <f>计价规则!$B$6</f>
        <v>100</v>
      </c>
      <c r="R122" s="12">
        <f>计价规则!$B$7</f>
        <v>400</v>
      </c>
      <c r="S122" s="8" t="s">
        <v>26</v>
      </c>
      <c r="T122" s="13">
        <v>121</v>
      </c>
    </row>
    <row r="123" ht="26" customHeight="1" spans="1:20">
      <c r="A123" s="8">
        <f t="shared" si="1"/>
        <v>122</v>
      </c>
      <c r="B123" s="8" t="s">
        <v>289</v>
      </c>
      <c r="C123" s="9" t="s">
        <v>384</v>
      </c>
      <c r="D123" s="10" t="s">
        <v>385</v>
      </c>
      <c r="E123" s="11" t="s">
        <v>23</v>
      </c>
      <c r="F123" s="11"/>
      <c r="G123" s="10" t="s">
        <v>24</v>
      </c>
      <c r="H123" s="10" t="s">
        <v>78</v>
      </c>
      <c r="I123" s="10"/>
      <c r="J123" s="10"/>
      <c r="K123" s="10"/>
      <c r="L123" s="12">
        <f>计价规则!$B$2+计价规则!$B$3*MAX(0,IF(H123="",0,LEN(H123)-LEN(SUBSTITUTE(H123,"、",""))+1)-(IF(ISNUMBER(SEARCH("WiFi通信模块",H123)),1,0)+IF(ISNUMBER(SEARCH("ESP8266 WiFi模块",H123)),1,0)+IF(ISNUMBER(SEARCH("NRF24L01无线通信模块",H123)),1,0)+IF(ISNUMBER(SEARCH("蓝牙模块",H123)),1,0)+IF(ISNUMBER(SEARCH("语音识别模块",H123)),1,0)+IF(ISNUMBER(SEARCH("语音播报模块",H123)),1,0)+IF(ISNUMBER(SEARCH("RFID模块",H123)),1,0)+IF(ISNUMBER(SEARCH("RFID读卡模块",H123)),1,0)+IF(ISNUMBER(SEARCH("GPS定位模块",H123)),1,0)+IF(ISNUMBER(SEARCH("GSM通信模块",H123)),1,0)+IF(ISNUMBER(SEARCH("摄像头模块",H123)),1,0)+IF(ISNUMBER(SEARCH("人脸识别模块",H123)),1,0)+IF(ISNUMBER(SEARCH("手势识别传感器",H123)),1,0)))</f>
        <v>105</v>
      </c>
      <c r="M123" s="12">
        <f>计价规则!$B$4+计价规则!$B$5*IF(H123="",0,LEN(H123)-LEN(SUBSTITUTE(H123,"、",""))+1)</f>
        <v>110</v>
      </c>
      <c r="N123" s="12"/>
      <c r="O123" s="12">
        <f>计价规则!$B$6</f>
        <v>100</v>
      </c>
      <c r="P123" s="12">
        <f>计价规则!$B$6</f>
        <v>100</v>
      </c>
      <c r="Q123" s="12">
        <f>计价规则!$B$6</f>
        <v>100</v>
      </c>
      <c r="R123" s="12">
        <f>计价规则!$B$7</f>
        <v>400</v>
      </c>
      <c r="S123" s="8" t="s">
        <v>26</v>
      </c>
      <c r="T123" s="13">
        <v>122</v>
      </c>
    </row>
    <row r="124" ht="26" customHeight="1" spans="1:20">
      <c r="A124" s="8">
        <f t="shared" si="1"/>
        <v>123</v>
      </c>
      <c r="B124" s="8" t="s">
        <v>289</v>
      </c>
      <c r="C124" s="9" t="s">
        <v>386</v>
      </c>
      <c r="D124" s="10" t="s">
        <v>387</v>
      </c>
      <c r="E124" s="11" t="s">
        <v>23</v>
      </c>
      <c r="F124" s="11"/>
      <c r="G124" s="10" t="s">
        <v>54</v>
      </c>
      <c r="H124" s="10" t="s">
        <v>388</v>
      </c>
      <c r="I124" s="10"/>
      <c r="J124" s="10"/>
      <c r="K124" s="10"/>
      <c r="L124" s="12">
        <f>计价规则!$B$2+计价规则!$B$3*MAX(0,IF(H124="",0,LEN(H124)-LEN(SUBSTITUTE(H124,"、",""))+1)-(IF(ISNUMBER(SEARCH("WiFi通信模块",H124)),1,0)+IF(ISNUMBER(SEARCH("ESP8266 WiFi模块",H124)),1,0)+IF(ISNUMBER(SEARCH("NRF24L01无线通信模块",H124)),1,0)+IF(ISNUMBER(SEARCH("蓝牙模块",H124)),1,0)+IF(ISNUMBER(SEARCH("语音识别模块",H124)),1,0)+IF(ISNUMBER(SEARCH("语音播报模块",H124)),1,0)+IF(ISNUMBER(SEARCH("RFID模块",H124)),1,0)+IF(ISNUMBER(SEARCH("RFID读卡模块",H124)),1,0)+IF(ISNUMBER(SEARCH("GPS定位模块",H124)),1,0)+IF(ISNUMBER(SEARCH("GSM通信模块",H124)),1,0)+IF(ISNUMBER(SEARCH("摄像头模块",H124)),1,0)+IF(ISNUMBER(SEARCH("人脸识别模块",H124)),1,0)+IF(ISNUMBER(SEARCH("手势识别传感器",H124)),1,0)))</f>
        <v>90</v>
      </c>
      <c r="M124" s="12">
        <f>计价规则!$B$4+计价规则!$B$5*IF(H124="",0,LEN(H124)-LEN(SUBSTITUTE(H124,"、",""))+1)</f>
        <v>90</v>
      </c>
      <c r="N124" s="12"/>
      <c r="O124" s="12">
        <f>计价规则!$B$6</f>
        <v>100</v>
      </c>
      <c r="P124" s="12">
        <f>计价规则!$B$6</f>
        <v>100</v>
      </c>
      <c r="Q124" s="12">
        <f>计价规则!$B$6</f>
        <v>100</v>
      </c>
      <c r="R124" s="12">
        <f>计价规则!$B$7</f>
        <v>400</v>
      </c>
      <c r="S124" s="8" t="s">
        <v>26</v>
      </c>
      <c r="T124" s="13">
        <v>123</v>
      </c>
    </row>
    <row r="125" ht="26" customHeight="1" spans="1:20">
      <c r="A125" s="8">
        <f t="shared" si="1"/>
        <v>124</v>
      </c>
      <c r="B125" s="8" t="s">
        <v>289</v>
      </c>
      <c r="C125" s="9" t="s">
        <v>389</v>
      </c>
      <c r="D125" s="10" t="s">
        <v>390</v>
      </c>
      <c r="E125" s="11" t="s">
        <v>23</v>
      </c>
      <c r="F125" s="11"/>
      <c r="G125" s="10" t="s">
        <v>81</v>
      </c>
      <c r="H125" s="10" t="s">
        <v>82</v>
      </c>
      <c r="I125" s="10"/>
      <c r="J125" s="10"/>
      <c r="K125" s="10"/>
      <c r="L125" s="12">
        <f>计价规则!$B$2+计价规则!$B$3*MAX(0,IF(H125="",0,LEN(H125)-LEN(SUBSTITUTE(H125,"、",""))+1)-(IF(ISNUMBER(SEARCH("WiFi通信模块",H125)),1,0)+IF(ISNUMBER(SEARCH("ESP8266 WiFi模块",H125)),1,0)+IF(ISNUMBER(SEARCH("NRF24L01无线通信模块",H125)),1,0)+IF(ISNUMBER(SEARCH("蓝牙模块",H125)),1,0)+IF(ISNUMBER(SEARCH("语音识别模块",H125)),1,0)+IF(ISNUMBER(SEARCH("语音播报模块",H125)),1,0)+IF(ISNUMBER(SEARCH("RFID模块",H125)),1,0)+IF(ISNUMBER(SEARCH("RFID读卡模块",H125)),1,0)+IF(ISNUMBER(SEARCH("GPS定位模块",H125)),1,0)+IF(ISNUMBER(SEARCH("GSM通信模块",H125)),1,0)+IF(ISNUMBER(SEARCH("摄像头模块",H125)),1,0)+IF(ISNUMBER(SEARCH("人脸识别模块",H125)),1,0)+IF(ISNUMBER(SEARCH("手势识别传感器",H125)),1,0)))</f>
        <v>90</v>
      </c>
      <c r="M125" s="12">
        <f>计价规则!$B$4+计价规则!$B$5*IF(H125="",0,LEN(H125)-LEN(SUBSTITUTE(H125,"、",""))+1)</f>
        <v>90</v>
      </c>
      <c r="N125" s="12"/>
      <c r="O125" s="12">
        <f>计价规则!$B$6</f>
        <v>100</v>
      </c>
      <c r="P125" s="12">
        <f>计价规则!$B$6</f>
        <v>100</v>
      </c>
      <c r="Q125" s="12">
        <f>计价规则!$B$6</f>
        <v>100</v>
      </c>
      <c r="R125" s="12">
        <f>计价规则!$B$7</f>
        <v>400</v>
      </c>
      <c r="S125" s="8" t="s">
        <v>26</v>
      </c>
      <c r="T125" s="13">
        <v>124</v>
      </c>
    </row>
    <row r="126" ht="26" customHeight="1" spans="1:20">
      <c r="A126" s="8">
        <f t="shared" si="1"/>
        <v>125</v>
      </c>
      <c r="B126" s="8" t="s">
        <v>289</v>
      </c>
      <c r="C126" s="9" t="s">
        <v>391</v>
      </c>
      <c r="D126" s="10" t="s">
        <v>392</v>
      </c>
      <c r="E126" s="11" t="s">
        <v>23</v>
      </c>
      <c r="F126" s="11"/>
      <c r="G126" s="10" t="s">
        <v>24</v>
      </c>
      <c r="H126" s="10" t="s">
        <v>393</v>
      </c>
      <c r="I126" s="10"/>
      <c r="J126" s="10"/>
      <c r="K126" s="10"/>
      <c r="L126" s="12">
        <f>计价规则!$B$2+计价规则!$B$3*MAX(0,IF(H126="",0,LEN(H126)-LEN(SUBSTITUTE(H126,"、",""))+1)-(IF(ISNUMBER(SEARCH("WiFi通信模块",H126)),1,0)+IF(ISNUMBER(SEARCH("ESP8266 WiFi模块",H126)),1,0)+IF(ISNUMBER(SEARCH("NRF24L01无线通信模块",H126)),1,0)+IF(ISNUMBER(SEARCH("蓝牙模块",H126)),1,0)+IF(ISNUMBER(SEARCH("语音识别模块",H126)),1,0)+IF(ISNUMBER(SEARCH("语音播报模块",H126)),1,0)+IF(ISNUMBER(SEARCH("RFID模块",H126)),1,0)+IF(ISNUMBER(SEARCH("RFID读卡模块",H126)),1,0)+IF(ISNUMBER(SEARCH("GPS定位模块",H126)),1,0)+IF(ISNUMBER(SEARCH("GSM通信模块",H126)),1,0)+IF(ISNUMBER(SEARCH("摄像头模块",H126)),1,0)+IF(ISNUMBER(SEARCH("人脸识别模块",H126)),1,0)+IF(ISNUMBER(SEARCH("手势识别传感器",H126)),1,0)))</f>
        <v>105</v>
      </c>
      <c r="M126" s="12">
        <f>计价规则!$B$4+计价规则!$B$5*IF(H126="",0,LEN(H126)-LEN(SUBSTITUTE(H126,"、",""))+1)</f>
        <v>110</v>
      </c>
      <c r="N126" s="12"/>
      <c r="O126" s="12">
        <f>计价规则!$B$6</f>
        <v>100</v>
      </c>
      <c r="P126" s="12">
        <f>计价规则!$B$6</f>
        <v>100</v>
      </c>
      <c r="Q126" s="12">
        <f>计价规则!$B$6</f>
        <v>100</v>
      </c>
      <c r="R126" s="12">
        <f>计价规则!$B$7</f>
        <v>400</v>
      </c>
      <c r="S126" s="8" t="s">
        <v>26</v>
      </c>
      <c r="T126" s="13">
        <v>125</v>
      </c>
    </row>
    <row r="127" ht="26" customHeight="1" spans="1:20">
      <c r="A127" s="8">
        <f t="shared" si="1"/>
        <v>126</v>
      </c>
      <c r="B127" s="8" t="s">
        <v>289</v>
      </c>
      <c r="C127" s="9" t="s">
        <v>394</v>
      </c>
      <c r="D127" s="10" t="s">
        <v>395</v>
      </c>
      <c r="E127" s="11" t="s">
        <v>23</v>
      </c>
      <c r="F127" s="11"/>
      <c r="G127" s="10" t="s">
        <v>81</v>
      </c>
      <c r="H127" s="10" t="s">
        <v>396</v>
      </c>
      <c r="I127" s="10"/>
      <c r="J127" s="10"/>
      <c r="K127" s="10"/>
      <c r="L127" s="12">
        <f>计价规则!$B$2+计价规则!$B$3*MAX(0,IF(H127="",0,LEN(H127)-LEN(SUBSTITUTE(H127,"、",""))+1)-(IF(ISNUMBER(SEARCH("WiFi通信模块",H127)),1,0)+IF(ISNUMBER(SEARCH("ESP8266 WiFi模块",H127)),1,0)+IF(ISNUMBER(SEARCH("NRF24L01无线通信模块",H127)),1,0)+IF(ISNUMBER(SEARCH("蓝牙模块",H127)),1,0)+IF(ISNUMBER(SEARCH("语音识别模块",H127)),1,0)+IF(ISNUMBER(SEARCH("语音播报模块",H127)),1,0)+IF(ISNUMBER(SEARCH("RFID模块",H127)),1,0)+IF(ISNUMBER(SEARCH("RFID读卡模块",H127)),1,0)+IF(ISNUMBER(SEARCH("GPS定位模块",H127)),1,0)+IF(ISNUMBER(SEARCH("GSM通信模块",H127)),1,0)+IF(ISNUMBER(SEARCH("摄像头模块",H127)),1,0)+IF(ISNUMBER(SEARCH("人脸识别模块",H127)),1,0)+IF(ISNUMBER(SEARCH("手势识别传感器",H127)),1,0)))</f>
        <v>90</v>
      </c>
      <c r="M127" s="12">
        <f>计价规则!$B$4+计价规则!$B$5*IF(H127="",0,LEN(H127)-LEN(SUBSTITUTE(H127,"、",""))+1)</f>
        <v>90</v>
      </c>
      <c r="N127" s="12"/>
      <c r="O127" s="12">
        <f>计价规则!$B$6</f>
        <v>100</v>
      </c>
      <c r="P127" s="12">
        <f>计价规则!$B$6</f>
        <v>100</v>
      </c>
      <c r="Q127" s="12">
        <f>计价规则!$B$6</f>
        <v>100</v>
      </c>
      <c r="R127" s="12">
        <f>计价规则!$B$7</f>
        <v>400</v>
      </c>
      <c r="S127" s="8" t="s">
        <v>26</v>
      </c>
      <c r="T127" s="13">
        <v>126</v>
      </c>
    </row>
    <row r="128" ht="26" customHeight="1" spans="1:20">
      <c r="A128" s="8">
        <f t="shared" si="1"/>
        <v>127</v>
      </c>
      <c r="B128" s="8" t="s">
        <v>289</v>
      </c>
      <c r="C128" s="9" t="s">
        <v>397</v>
      </c>
      <c r="D128" s="10" t="s">
        <v>398</v>
      </c>
      <c r="E128" s="11" t="s">
        <v>23</v>
      </c>
      <c r="F128" s="11"/>
      <c r="G128" s="10" t="s">
        <v>81</v>
      </c>
      <c r="H128" s="10" t="s">
        <v>396</v>
      </c>
      <c r="I128" s="10"/>
      <c r="J128" s="10"/>
      <c r="K128" s="10"/>
      <c r="L128" s="12">
        <f>计价规则!$B$2+计价规则!$B$3*MAX(0,IF(H128="",0,LEN(H128)-LEN(SUBSTITUTE(H128,"、",""))+1)-(IF(ISNUMBER(SEARCH("WiFi通信模块",H128)),1,0)+IF(ISNUMBER(SEARCH("ESP8266 WiFi模块",H128)),1,0)+IF(ISNUMBER(SEARCH("NRF24L01无线通信模块",H128)),1,0)+IF(ISNUMBER(SEARCH("蓝牙模块",H128)),1,0)+IF(ISNUMBER(SEARCH("语音识别模块",H128)),1,0)+IF(ISNUMBER(SEARCH("语音播报模块",H128)),1,0)+IF(ISNUMBER(SEARCH("RFID模块",H128)),1,0)+IF(ISNUMBER(SEARCH("RFID读卡模块",H128)),1,0)+IF(ISNUMBER(SEARCH("GPS定位模块",H128)),1,0)+IF(ISNUMBER(SEARCH("GSM通信模块",H128)),1,0)+IF(ISNUMBER(SEARCH("摄像头模块",H128)),1,0)+IF(ISNUMBER(SEARCH("人脸识别模块",H128)),1,0)+IF(ISNUMBER(SEARCH("手势识别传感器",H128)),1,0)))</f>
        <v>90</v>
      </c>
      <c r="M128" s="12">
        <f>计价规则!$B$4+计价规则!$B$5*IF(H128="",0,LEN(H128)-LEN(SUBSTITUTE(H128,"、",""))+1)</f>
        <v>90</v>
      </c>
      <c r="N128" s="12"/>
      <c r="O128" s="12">
        <f>计价规则!$B$6</f>
        <v>100</v>
      </c>
      <c r="P128" s="12">
        <f>计价规则!$B$6</f>
        <v>100</v>
      </c>
      <c r="Q128" s="12">
        <f>计价规则!$B$6</f>
        <v>100</v>
      </c>
      <c r="R128" s="12">
        <f>计价规则!$B$7</f>
        <v>400</v>
      </c>
      <c r="S128" s="8" t="s">
        <v>26</v>
      </c>
      <c r="T128" s="13">
        <v>127</v>
      </c>
    </row>
    <row r="129" ht="26" customHeight="1" spans="1:20">
      <c r="A129" s="8">
        <f t="shared" si="1"/>
        <v>128</v>
      </c>
      <c r="B129" s="8" t="s">
        <v>289</v>
      </c>
      <c r="C129" s="9" t="s">
        <v>399</v>
      </c>
      <c r="D129" s="10" t="s">
        <v>400</v>
      </c>
      <c r="E129" s="11" t="s">
        <v>23</v>
      </c>
      <c r="F129" s="11"/>
      <c r="G129" s="10" t="s">
        <v>81</v>
      </c>
      <c r="H129" s="10" t="s">
        <v>396</v>
      </c>
      <c r="I129" s="10"/>
      <c r="J129" s="10"/>
      <c r="K129" s="10"/>
      <c r="L129" s="12">
        <f>计价规则!$B$2+计价规则!$B$3*MAX(0,IF(H129="",0,LEN(H129)-LEN(SUBSTITUTE(H129,"、",""))+1)-(IF(ISNUMBER(SEARCH("WiFi通信模块",H129)),1,0)+IF(ISNUMBER(SEARCH("ESP8266 WiFi模块",H129)),1,0)+IF(ISNUMBER(SEARCH("NRF24L01无线通信模块",H129)),1,0)+IF(ISNUMBER(SEARCH("蓝牙模块",H129)),1,0)+IF(ISNUMBER(SEARCH("语音识别模块",H129)),1,0)+IF(ISNUMBER(SEARCH("语音播报模块",H129)),1,0)+IF(ISNUMBER(SEARCH("RFID模块",H129)),1,0)+IF(ISNUMBER(SEARCH("RFID读卡模块",H129)),1,0)+IF(ISNUMBER(SEARCH("GPS定位模块",H129)),1,0)+IF(ISNUMBER(SEARCH("GSM通信模块",H129)),1,0)+IF(ISNUMBER(SEARCH("摄像头模块",H129)),1,0)+IF(ISNUMBER(SEARCH("人脸识别模块",H129)),1,0)+IF(ISNUMBER(SEARCH("手势识别传感器",H129)),1,0)))</f>
        <v>90</v>
      </c>
      <c r="M129" s="12">
        <f>计价规则!$B$4+计价规则!$B$5*IF(H129="",0,LEN(H129)-LEN(SUBSTITUTE(H129,"、",""))+1)</f>
        <v>90</v>
      </c>
      <c r="N129" s="12"/>
      <c r="O129" s="12">
        <f>计价规则!$B$6</f>
        <v>100</v>
      </c>
      <c r="P129" s="12">
        <f>计价规则!$B$6</f>
        <v>100</v>
      </c>
      <c r="Q129" s="12">
        <f>计价规则!$B$6</f>
        <v>100</v>
      </c>
      <c r="R129" s="12">
        <f>计价规则!$B$7</f>
        <v>400</v>
      </c>
      <c r="S129" s="8" t="s">
        <v>26</v>
      </c>
      <c r="T129" s="13">
        <v>128</v>
      </c>
    </row>
    <row r="130" ht="26" customHeight="1" spans="1:20">
      <c r="A130" s="8">
        <f t="shared" ref="A130:A193" si="2">IF(B130&lt;&gt;"",ROW()-1,"")</f>
        <v>129</v>
      </c>
      <c r="B130" s="8" t="s">
        <v>289</v>
      </c>
      <c r="C130" s="9" t="s">
        <v>401</v>
      </c>
      <c r="D130" s="10" t="s">
        <v>402</v>
      </c>
      <c r="E130" s="11" t="s">
        <v>23</v>
      </c>
      <c r="F130" s="11"/>
      <c r="G130" s="10" t="s">
        <v>81</v>
      </c>
      <c r="H130" s="10" t="s">
        <v>396</v>
      </c>
      <c r="I130" s="10"/>
      <c r="J130" s="10"/>
      <c r="K130" s="10"/>
      <c r="L130" s="12">
        <f>计价规则!$B$2+计价规则!$B$3*MAX(0,IF(H130="",0,LEN(H130)-LEN(SUBSTITUTE(H130,"、",""))+1)-(IF(ISNUMBER(SEARCH("WiFi通信模块",H130)),1,0)+IF(ISNUMBER(SEARCH("ESP8266 WiFi模块",H130)),1,0)+IF(ISNUMBER(SEARCH("NRF24L01无线通信模块",H130)),1,0)+IF(ISNUMBER(SEARCH("蓝牙模块",H130)),1,0)+IF(ISNUMBER(SEARCH("语音识别模块",H130)),1,0)+IF(ISNUMBER(SEARCH("语音播报模块",H130)),1,0)+IF(ISNUMBER(SEARCH("RFID模块",H130)),1,0)+IF(ISNUMBER(SEARCH("RFID读卡模块",H130)),1,0)+IF(ISNUMBER(SEARCH("GPS定位模块",H130)),1,0)+IF(ISNUMBER(SEARCH("GSM通信模块",H130)),1,0)+IF(ISNUMBER(SEARCH("摄像头模块",H130)),1,0)+IF(ISNUMBER(SEARCH("人脸识别模块",H130)),1,0)+IF(ISNUMBER(SEARCH("手势识别传感器",H130)),1,0)))</f>
        <v>90</v>
      </c>
      <c r="M130" s="12">
        <f>计价规则!$B$4+计价规则!$B$5*IF(H130="",0,LEN(H130)-LEN(SUBSTITUTE(H130,"、",""))+1)</f>
        <v>90</v>
      </c>
      <c r="N130" s="12"/>
      <c r="O130" s="12">
        <f>计价规则!$B$6</f>
        <v>100</v>
      </c>
      <c r="P130" s="12">
        <f>计价规则!$B$6</f>
        <v>100</v>
      </c>
      <c r="Q130" s="12">
        <f>计价规则!$B$6</f>
        <v>100</v>
      </c>
      <c r="R130" s="12">
        <f>计价规则!$B$7</f>
        <v>400</v>
      </c>
      <c r="S130" s="8" t="s">
        <v>26</v>
      </c>
      <c r="T130" s="13">
        <v>129</v>
      </c>
    </row>
    <row r="131" ht="26" customHeight="1" spans="1:20">
      <c r="A131" s="8">
        <f t="shared" si="2"/>
        <v>130</v>
      </c>
      <c r="B131" s="8" t="s">
        <v>289</v>
      </c>
      <c r="C131" s="9" t="s">
        <v>403</v>
      </c>
      <c r="D131" s="10" t="s">
        <v>404</v>
      </c>
      <c r="E131" s="11" t="s">
        <v>23</v>
      </c>
      <c r="F131" s="11"/>
      <c r="G131" s="10" t="s">
        <v>81</v>
      </c>
      <c r="H131" s="10" t="s">
        <v>405</v>
      </c>
      <c r="I131" s="10"/>
      <c r="J131" s="10"/>
      <c r="K131" s="10"/>
      <c r="L131" s="12">
        <f>计价规则!$B$2+计价规则!$B$3*MAX(0,IF(H131="",0,LEN(H131)-LEN(SUBSTITUTE(H131,"、",""))+1)-(IF(ISNUMBER(SEARCH("WiFi通信模块",H131)),1,0)+IF(ISNUMBER(SEARCH("ESP8266 WiFi模块",H131)),1,0)+IF(ISNUMBER(SEARCH("NRF24L01无线通信模块",H131)),1,0)+IF(ISNUMBER(SEARCH("蓝牙模块",H131)),1,0)+IF(ISNUMBER(SEARCH("语音识别模块",H131)),1,0)+IF(ISNUMBER(SEARCH("语音播报模块",H131)),1,0)+IF(ISNUMBER(SEARCH("RFID模块",H131)),1,0)+IF(ISNUMBER(SEARCH("RFID读卡模块",H131)),1,0)+IF(ISNUMBER(SEARCH("GPS定位模块",H131)),1,0)+IF(ISNUMBER(SEARCH("GSM通信模块",H131)),1,0)+IF(ISNUMBER(SEARCH("摄像头模块",H131)),1,0)+IF(ISNUMBER(SEARCH("人脸识别模块",H131)),1,0)+IF(ISNUMBER(SEARCH("手势识别传感器",H131)),1,0)))</f>
        <v>120</v>
      </c>
      <c r="M131" s="12">
        <f>计价规则!$B$4+计价规则!$B$5*IF(H131="",0,LEN(H131)-LEN(SUBSTITUTE(H131,"、",""))+1)</f>
        <v>130</v>
      </c>
      <c r="N131" s="12"/>
      <c r="O131" s="12">
        <f>计价规则!$B$6</f>
        <v>100</v>
      </c>
      <c r="P131" s="12">
        <f>计价规则!$B$6</f>
        <v>100</v>
      </c>
      <c r="Q131" s="12">
        <f>计价规则!$B$6</f>
        <v>100</v>
      </c>
      <c r="R131" s="12">
        <f>计价规则!$B$7</f>
        <v>400</v>
      </c>
      <c r="S131" s="8" t="s">
        <v>26</v>
      </c>
      <c r="T131" s="13">
        <v>130</v>
      </c>
    </row>
    <row r="132" ht="26" customHeight="1" spans="1:20">
      <c r="A132" s="8">
        <f t="shared" si="2"/>
        <v>131</v>
      </c>
      <c r="B132" s="8" t="s">
        <v>289</v>
      </c>
      <c r="C132" s="9" t="s">
        <v>406</v>
      </c>
      <c r="D132" s="10" t="s">
        <v>407</v>
      </c>
      <c r="E132" s="11" t="s">
        <v>23</v>
      </c>
      <c r="F132" s="11"/>
      <c r="G132" s="10" t="s">
        <v>73</v>
      </c>
      <c r="H132" s="10" t="s">
        <v>408</v>
      </c>
      <c r="I132" s="10"/>
      <c r="J132" s="10"/>
      <c r="K132" s="10"/>
      <c r="L132" s="12">
        <f>计价规则!$B$2+计价规则!$B$3*MAX(0,IF(H132="",0,LEN(H132)-LEN(SUBSTITUTE(H132,"、",""))+1)-(IF(ISNUMBER(SEARCH("WiFi通信模块",H132)),1,0)+IF(ISNUMBER(SEARCH("ESP8266 WiFi模块",H132)),1,0)+IF(ISNUMBER(SEARCH("NRF24L01无线通信模块",H132)),1,0)+IF(ISNUMBER(SEARCH("蓝牙模块",H132)),1,0)+IF(ISNUMBER(SEARCH("语音识别模块",H132)),1,0)+IF(ISNUMBER(SEARCH("语音播报模块",H132)),1,0)+IF(ISNUMBER(SEARCH("RFID模块",H132)),1,0)+IF(ISNUMBER(SEARCH("RFID读卡模块",H132)),1,0)+IF(ISNUMBER(SEARCH("GPS定位模块",H132)),1,0)+IF(ISNUMBER(SEARCH("GSM通信模块",H132)),1,0)+IF(ISNUMBER(SEARCH("摄像头模块",H132)),1,0)+IF(ISNUMBER(SEARCH("人脸识别模块",H132)),1,0)+IF(ISNUMBER(SEARCH("手势识别传感器",H132)),1,0)))</f>
        <v>90</v>
      </c>
      <c r="M132" s="12">
        <f>计价规则!$B$4+计价规则!$B$5*IF(H132="",0,LEN(H132)-LEN(SUBSTITUTE(H132,"、",""))+1)</f>
        <v>90</v>
      </c>
      <c r="N132" s="12"/>
      <c r="O132" s="12">
        <f>计价规则!$B$6</f>
        <v>100</v>
      </c>
      <c r="P132" s="12">
        <f>计价规则!$B$6</f>
        <v>100</v>
      </c>
      <c r="Q132" s="12">
        <f>计价规则!$B$6</f>
        <v>100</v>
      </c>
      <c r="R132" s="12">
        <f>计价规则!$B$7</f>
        <v>400</v>
      </c>
      <c r="S132" s="8" t="s">
        <v>26</v>
      </c>
      <c r="T132" s="13">
        <v>131</v>
      </c>
    </row>
    <row r="133" ht="26" customHeight="1" spans="1:20">
      <c r="A133" s="8">
        <f t="shared" si="2"/>
        <v>132</v>
      </c>
      <c r="B133" s="8" t="s">
        <v>289</v>
      </c>
      <c r="C133" s="9" t="s">
        <v>409</v>
      </c>
      <c r="D133" s="10" t="s">
        <v>410</v>
      </c>
      <c r="E133" s="11" t="s">
        <v>23</v>
      </c>
      <c r="F133" s="11"/>
      <c r="G133" s="10" t="s">
        <v>138</v>
      </c>
      <c r="H133" s="10" t="s">
        <v>411</v>
      </c>
      <c r="I133" s="10"/>
      <c r="J133" s="10"/>
      <c r="K133" s="10"/>
      <c r="L133" s="12">
        <f>计价规则!$B$2+计价规则!$B$3*MAX(0,IF(H133="",0,LEN(H133)-LEN(SUBSTITUTE(H133,"、",""))+1)-(IF(ISNUMBER(SEARCH("WiFi通信模块",H133)),1,0)+IF(ISNUMBER(SEARCH("ESP8266 WiFi模块",H133)),1,0)+IF(ISNUMBER(SEARCH("NRF24L01无线通信模块",H133)),1,0)+IF(ISNUMBER(SEARCH("蓝牙模块",H133)),1,0)+IF(ISNUMBER(SEARCH("语音识别模块",H133)),1,0)+IF(ISNUMBER(SEARCH("语音播报模块",H133)),1,0)+IF(ISNUMBER(SEARCH("RFID模块",H133)),1,0)+IF(ISNUMBER(SEARCH("RFID读卡模块",H133)),1,0)+IF(ISNUMBER(SEARCH("GPS定位模块",H133)),1,0)+IF(ISNUMBER(SEARCH("GSM通信模块",H133)),1,0)+IF(ISNUMBER(SEARCH("摄像头模块",H133)),1,0)+IF(ISNUMBER(SEARCH("人脸识别模块",H133)),1,0)+IF(ISNUMBER(SEARCH("手势识别传感器",H133)),1,0)))</f>
        <v>105</v>
      </c>
      <c r="M133" s="12">
        <f>计价规则!$B$4+计价规则!$B$5*IF(H133="",0,LEN(H133)-LEN(SUBSTITUTE(H133,"、",""))+1)</f>
        <v>110</v>
      </c>
      <c r="N133" s="12"/>
      <c r="O133" s="12">
        <f>计价规则!$B$6</f>
        <v>100</v>
      </c>
      <c r="P133" s="12">
        <f>计价规则!$B$6</f>
        <v>100</v>
      </c>
      <c r="Q133" s="12">
        <f>计价规则!$B$6</f>
        <v>100</v>
      </c>
      <c r="R133" s="12">
        <f>计价规则!$B$7</f>
        <v>400</v>
      </c>
      <c r="S133" s="8" t="s">
        <v>26</v>
      </c>
      <c r="T133" s="13">
        <v>132</v>
      </c>
    </row>
    <row r="134" ht="26" customHeight="1" spans="1:20">
      <c r="A134" s="8">
        <f t="shared" si="2"/>
        <v>133</v>
      </c>
      <c r="B134" s="8" t="s">
        <v>289</v>
      </c>
      <c r="C134" s="9" t="s">
        <v>412</v>
      </c>
      <c r="D134" s="10" t="s">
        <v>413</v>
      </c>
      <c r="E134" s="11" t="s">
        <v>23</v>
      </c>
      <c r="F134" s="11"/>
      <c r="G134" s="10" t="s">
        <v>414</v>
      </c>
      <c r="H134" s="10" t="s">
        <v>415</v>
      </c>
      <c r="I134" s="10"/>
      <c r="J134" s="10"/>
      <c r="K134" s="10"/>
      <c r="L134" s="12">
        <f>计价规则!$B$2+计价规则!$B$3*MAX(0,IF(H134="",0,LEN(H134)-LEN(SUBSTITUTE(H134,"、",""))+1)-(IF(ISNUMBER(SEARCH("WiFi通信模块",H134)),1,0)+IF(ISNUMBER(SEARCH("ESP8266 WiFi模块",H134)),1,0)+IF(ISNUMBER(SEARCH("NRF24L01无线通信模块",H134)),1,0)+IF(ISNUMBER(SEARCH("蓝牙模块",H134)),1,0)+IF(ISNUMBER(SEARCH("语音识别模块",H134)),1,0)+IF(ISNUMBER(SEARCH("语音播报模块",H134)),1,0)+IF(ISNUMBER(SEARCH("RFID模块",H134)),1,0)+IF(ISNUMBER(SEARCH("RFID读卡模块",H134)),1,0)+IF(ISNUMBER(SEARCH("GPS定位模块",H134)),1,0)+IF(ISNUMBER(SEARCH("GSM通信模块",H134)),1,0)+IF(ISNUMBER(SEARCH("摄像头模块",H134)),1,0)+IF(ISNUMBER(SEARCH("人脸识别模块",H134)),1,0)+IF(ISNUMBER(SEARCH("手势识别传感器",H134)),1,0)))</f>
        <v>105</v>
      </c>
      <c r="M134" s="12">
        <f>计价规则!$B$4+计价规则!$B$5*IF(H134="",0,LEN(H134)-LEN(SUBSTITUTE(H134,"、",""))+1)</f>
        <v>110</v>
      </c>
      <c r="N134" s="12"/>
      <c r="O134" s="12">
        <f>计价规则!$B$6</f>
        <v>100</v>
      </c>
      <c r="P134" s="12">
        <f>计价规则!$B$6</f>
        <v>100</v>
      </c>
      <c r="Q134" s="12">
        <f>计价规则!$B$6</f>
        <v>100</v>
      </c>
      <c r="R134" s="12">
        <f>计价规则!$B$7</f>
        <v>400</v>
      </c>
      <c r="S134" s="8" t="s">
        <v>26</v>
      </c>
      <c r="T134" s="13">
        <v>133</v>
      </c>
    </row>
    <row r="135" ht="26" customHeight="1" spans="1:20">
      <c r="A135" s="8">
        <f t="shared" si="2"/>
        <v>134</v>
      </c>
      <c r="B135" s="8" t="s">
        <v>289</v>
      </c>
      <c r="C135" s="9" t="s">
        <v>416</v>
      </c>
      <c r="D135" s="10" t="s">
        <v>417</v>
      </c>
      <c r="E135" s="11" t="s">
        <v>23</v>
      </c>
      <c r="F135" s="11"/>
      <c r="G135" s="10" t="s">
        <v>24</v>
      </c>
      <c r="H135" s="10" t="s">
        <v>418</v>
      </c>
      <c r="I135" s="10"/>
      <c r="J135" s="10"/>
      <c r="K135" s="10"/>
      <c r="L135" s="12">
        <f>计价规则!$B$2+计价规则!$B$3*MAX(0,IF(H135="",0,LEN(H135)-LEN(SUBSTITUTE(H135,"、",""))+1)-(IF(ISNUMBER(SEARCH("WiFi通信模块",H135)),1,0)+IF(ISNUMBER(SEARCH("ESP8266 WiFi模块",H135)),1,0)+IF(ISNUMBER(SEARCH("NRF24L01无线通信模块",H135)),1,0)+IF(ISNUMBER(SEARCH("蓝牙模块",H135)),1,0)+IF(ISNUMBER(SEARCH("语音识别模块",H135)),1,0)+IF(ISNUMBER(SEARCH("语音播报模块",H135)),1,0)+IF(ISNUMBER(SEARCH("RFID模块",H135)),1,0)+IF(ISNUMBER(SEARCH("RFID读卡模块",H135)),1,0)+IF(ISNUMBER(SEARCH("GPS定位模块",H135)),1,0)+IF(ISNUMBER(SEARCH("GSM通信模块",H135)),1,0)+IF(ISNUMBER(SEARCH("摄像头模块",H135)),1,0)+IF(ISNUMBER(SEARCH("人脸识别模块",H135)),1,0)+IF(ISNUMBER(SEARCH("手势识别传感器",H135)),1,0)))</f>
        <v>105</v>
      </c>
      <c r="M135" s="12">
        <f>计价规则!$B$4+计价规则!$B$5*IF(H135="",0,LEN(H135)-LEN(SUBSTITUTE(H135,"、",""))+1)</f>
        <v>110</v>
      </c>
      <c r="N135" s="12"/>
      <c r="O135" s="12">
        <f>计价规则!$B$6</f>
        <v>100</v>
      </c>
      <c r="P135" s="12">
        <f>计价规则!$B$6</f>
        <v>100</v>
      </c>
      <c r="Q135" s="12">
        <f>计价规则!$B$6</f>
        <v>100</v>
      </c>
      <c r="R135" s="12">
        <f>计价规则!$B$7</f>
        <v>400</v>
      </c>
      <c r="S135" s="8" t="s">
        <v>26</v>
      </c>
      <c r="T135" s="13">
        <v>134</v>
      </c>
    </row>
    <row r="136" ht="26" customHeight="1" spans="1:20">
      <c r="A136" s="8">
        <f t="shared" si="2"/>
        <v>135</v>
      </c>
      <c r="B136" s="8" t="s">
        <v>289</v>
      </c>
      <c r="C136" s="9" t="s">
        <v>419</v>
      </c>
      <c r="D136" s="10" t="s">
        <v>420</v>
      </c>
      <c r="E136" s="11" t="s">
        <v>23</v>
      </c>
      <c r="F136" s="11"/>
      <c r="G136" s="10" t="s">
        <v>24</v>
      </c>
      <c r="H136" s="10" t="s">
        <v>66</v>
      </c>
      <c r="I136" s="10"/>
      <c r="J136" s="10"/>
      <c r="K136" s="10"/>
      <c r="L136" s="12">
        <f>计价规则!$B$2+计价规则!$B$3*MAX(0,IF(H136="",0,LEN(H136)-LEN(SUBSTITUTE(H136,"、",""))+1)-(IF(ISNUMBER(SEARCH("WiFi通信模块",H136)),1,0)+IF(ISNUMBER(SEARCH("ESP8266 WiFi模块",H136)),1,0)+IF(ISNUMBER(SEARCH("NRF24L01无线通信模块",H136)),1,0)+IF(ISNUMBER(SEARCH("蓝牙模块",H136)),1,0)+IF(ISNUMBER(SEARCH("语音识别模块",H136)),1,0)+IF(ISNUMBER(SEARCH("语音播报模块",H136)),1,0)+IF(ISNUMBER(SEARCH("RFID模块",H136)),1,0)+IF(ISNUMBER(SEARCH("RFID读卡模块",H136)),1,0)+IF(ISNUMBER(SEARCH("GPS定位模块",H136)),1,0)+IF(ISNUMBER(SEARCH("GSM通信模块",H136)),1,0)+IF(ISNUMBER(SEARCH("摄像头模块",H136)),1,0)+IF(ISNUMBER(SEARCH("人脸识别模块",H136)),1,0)+IF(ISNUMBER(SEARCH("手势识别传感器",H136)),1,0)))</f>
        <v>90</v>
      </c>
      <c r="M136" s="12">
        <f>计价规则!$B$4+计价规则!$B$5*IF(H136="",0,LEN(H136)-LEN(SUBSTITUTE(H136,"、",""))+1)</f>
        <v>90</v>
      </c>
      <c r="N136" s="12"/>
      <c r="O136" s="12">
        <f>计价规则!$B$6</f>
        <v>100</v>
      </c>
      <c r="P136" s="12">
        <f>计价规则!$B$6</f>
        <v>100</v>
      </c>
      <c r="Q136" s="12">
        <f>计价规则!$B$6</f>
        <v>100</v>
      </c>
      <c r="R136" s="12">
        <f>计价规则!$B$7</f>
        <v>400</v>
      </c>
      <c r="S136" s="8" t="s">
        <v>26</v>
      </c>
      <c r="T136" s="13">
        <v>135</v>
      </c>
    </row>
    <row r="137" ht="26" customHeight="1" spans="1:20">
      <c r="A137" s="8">
        <f t="shared" si="2"/>
        <v>136</v>
      </c>
      <c r="B137" s="8" t="s">
        <v>289</v>
      </c>
      <c r="C137" s="9" t="s">
        <v>421</v>
      </c>
      <c r="D137" s="10" t="s">
        <v>422</v>
      </c>
      <c r="E137" s="11" t="s">
        <v>23</v>
      </c>
      <c r="F137" s="11"/>
      <c r="G137" s="10" t="s">
        <v>24</v>
      </c>
      <c r="H137" s="10" t="s">
        <v>66</v>
      </c>
      <c r="I137" s="10"/>
      <c r="J137" s="10"/>
      <c r="K137" s="10"/>
      <c r="L137" s="12">
        <f>计价规则!$B$2+计价规则!$B$3*MAX(0,IF(H137="",0,LEN(H137)-LEN(SUBSTITUTE(H137,"、",""))+1)-(IF(ISNUMBER(SEARCH("WiFi通信模块",H137)),1,0)+IF(ISNUMBER(SEARCH("ESP8266 WiFi模块",H137)),1,0)+IF(ISNUMBER(SEARCH("NRF24L01无线通信模块",H137)),1,0)+IF(ISNUMBER(SEARCH("蓝牙模块",H137)),1,0)+IF(ISNUMBER(SEARCH("语音识别模块",H137)),1,0)+IF(ISNUMBER(SEARCH("语音播报模块",H137)),1,0)+IF(ISNUMBER(SEARCH("RFID模块",H137)),1,0)+IF(ISNUMBER(SEARCH("RFID读卡模块",H137)),1,0)+IF(ISNUMBER(SEARCH("GPS定位模块",H137)),1,0)+IF(ISNUMBER(SEARCH("GSM通信模块",H137)),1,0)+IF(ISNUMBER(SEARCH("摄像头模块",H137)),1,0)+IF(ISNUMBER(SEARCH("人脸识别模块",H137)),1,0)+IF(ISNUMBER(SEARCH("手势识别传感器",H137)),1,0)))</f>
        <v>90</v>
      </c>
      <c r="M137" s="12">
        <f>计价规则!$B$4+计价规则!$B$5*IF(H137="",0,LEN(H137)-LEN(SUBSTITUTE(H137,"、",""))+1)</f>
        <v>90</v>
      </c>
      <c r="N137" s="12"/>
      <c r="O137" s="12">
        <f>计价规则!$B$6</f>
        <v>100</v>
      </c>
      <c r="P137" s="12">
        <f>计价规则!$B$6</f>
        <v>100</v>
      </c>
      <c r="Q137" s="12">
        <f>计价规则!$B$6</f>
        <v>100</v>
      </c>
      <c r="R137" s="12">
        <f>计价规则!$B$7</f>
        <v>400</v>
      </c>
      <c r="S137" s="8" t="s">
        <v>26</v>
      </c>
      <c r="T137" s="13">
        <v>136</v>
      </c>
    </row>
    <row r="138" ht="26" customHeight="1" spans="1:20">
      <c r="A138" s="8">
        <f t="shared" si="2"/>
        <v>137</v>
      </c>
      <c r="B138" s="8" t="s">
        <v>289</v>
      </c>
      <c r="C138" s="9" t="s">
        <v>423</v>
      </c>
      <c r="D138" s="10" t="s">
        <v>424</v>
      </c>
      <c r="E138" s="11" t="s">
        <v>23</v>
      </c>
      <c r="F138" s="11"/>
      <c r="G138" s="10" t="s">
        <v>54</v>
      </c>
      <c r="H138" s="10" t="s">
        <v>198</v>
      </c>
      <c r="I138" s="10"/>
      <c r="J138" s="10"/>
      <c r="K138" s="10"/>
      <c r="L138" s="12">
        <f>计价规则!$B$2+计价规则!$B$3*MAX(0,IF(H138="",0,LEN(H138)-LEN(SUBSTITUTE(H138,"、",""))+1)-(IF(ISNUMBER(SEARCH("WiFi通信模块",H138)),1,0)+IF(ISNUMBER(SEARCH("ESP8266 WiFi模块",H138)),1,0)+IF(ISNUMBER(SEARCH("NRF24L01无线通信模块",H138)),1,0)+IF(ISNUMBER(SEARCH("蓝牙模块",H138)),1,0)+IF(ISNUMBER(SEARCH("语音识别模块",H138)),1,0)+IF(ISNUMBER(SEARCH("语音播报模块",H138)),1,0)+IF(ISNUMBER(SEARCH("RFID模块",H138)),1,0)+IF(ISNUMBER(SEARCH("RFID读卡模块",H138)),1,0)+IF(ISNUMBER(SEARCH("GPS定位模块",H138)),1,0)+IF(ISNUMBER(SEARCH("GSM通信模块",H138)),1,0)+IF(ISNUMBER(SEARCH("摄像头模块",H138)),1,0)+IF(ISNUMBER(SEARCH("人脸识别模块",H138)),1,0)+IF(ISNUMBER(SEARCH("手势识别传感器",H138)),1,0)))</f>
        <v>90</v>
      </c>
      <c r="M138" s="12">
        <f>计价规则!$B$4+计价规则!$B$5*IF(H138="",0,LEN(H138)-LEN(SUBSTITUTE(H138,"、",""))+1)</f>
        <v>90</v>
      </c>
      <c r="N138" s="12"/>
      <c r="O138" s="12">
        <f>计价规则!$B$6</f>
        <v>100</v>
      </c>
      <c r="P138" s="12">
        <f>计价规则!$B$6</f>
        <v>100</v>
      </c>
      <c r="Q138" s="12">
        <f>计价规则!$B$6</f>
        <v>100</v>
      </c>
      <c r="R138" s="12">
        <f>计价规则!$B$7</f>
        <v>400</v>
      </c>
      <c r="S138" s="8" t="s">
        <v>26</v>
      </c>
      <c r="T138" s="13">
        <v>137</v>
      </c>
    </row>
    <row r="139" ht="26" customHeight="1" spans="1:20">
      <c r="A139" s="8">
        <f t="shared" si="2"/>
        <v>138</v>
      </c>
      <c r="B139" s="8" t="s">
        <v>289</v>
      </c>
      <c r="C139" s="9" t="s">
        <v>425</v>
      </c>
      <c r="D139" s="10" t="s">
        <v>426</v>
      </c>
      <c r="E139" s="11" t="s">
        <v>23</v>
      </c>
      <c r="F139" s="11"/>
      <c r="G139" s="10" t="s">
        <v>54</v>
      </c>
      <c r="H139" s="10" t="s">
        <v>427</v>
      </c>
      <c r="I139" s="10"/>
      <c r="J139" s="10"/>
      <c r="K139" s="10"/>
      <c r="L139" s="12">
        <f>计价规则!$B$2+计价规则!$B$3*MAX(0,IF(H139="",0,LEN(H139)-LEN(SUBSTITUTE(H139,"、",""))+1)-(IF(ISNUMBER(SEARCH("WiFi通信模块",H139)),1,0)+IF(ISNUMBER(SEARCH("ESP8266 WiFi模块",H139)),1,0)+IF(ISNUMBER(SEARCH("NRF24L01无线通信模块",H139)),1,0)+IF(ISNUMBER(SEARCH("蓝牙模块",H139)),1,0)+IF(ISNUMBER(SEARCH("语音识别模块",H139)),1,0)+IF(ISNUMBER(SEARCH("语音播报模块",H139)),1,0)+IF(ISNUMBER(SEARCH("RFID模块",H139)),1,0)+IF(ISNUMBER(SEARCH("RFID读卡模块",H139)),1,0)+IF(ISNUMBER(SEARCH("GPS定位模块",H139)),1,0)+IF(ISNUMBER(SEARCH("GSM通信模块",H139)),1,0)+IF(ISNUMBER(SEARCH("摄像头模块",H139)),1,0)+IF(ISNUMBER(SEARCH("人脸识别模块",H139)),1,0)+IF(ISNUMBER(SEARCH("手势识别传感器",H139)),1,0)))</f>
        <v>90</v>
      </c>
      <c r="M139" s="12">
        <f>计价规则!$B$4+计价规则!$B$5*IF(H139="",0,LEN(H139)-LEN(SUBSTITUTE(H139,"、",""))+1)</f>
        <v>90</v>
      </c>
      <c r="N139" s="12"/>
      <c r="O139" s="12">
        <f>计价规则!$B$6</f>
        <v>100</v>
      </c>
      <c r="P139" s="12">
        <f>计价规则!$B$6</f>
        <v>100</v>
      </c>
      <c r="Q139" s="12">
        <f>计价规则!$B$6</f>
        <v>100</v>
      </c>
      <c r="R139" s="12">
        <f>计价规则!$B$7</f>
        <v>400</v>
      </c>
      <c r="S139" s="8" t="s">
        <v>26</v>
      </c>
      <c r="T139" s="13">
        <v>138</v>
      </c>
    </row>
    <row r="140" ht="26" customHeight="1" spans="1:20">
      <c r="A140" s="8">
        <f t="shared" si="2"/>
        <v>139</v>
      </c>
      <c r="B140" s="8" t="s">
        <v>289</v>
      </c>
      <c r="C140" s="9" t="s">
        <v>428</v>
      </c>
      <c r="D140" s="10" t="s">
        <v>429</v>
      </c>
      <c r="E140" s="11" t="s">
        <v>23</v>
      </c>
      <c r="F140" s="11"/>
      <c r="G140" s="10" t="s">
        <v>73</v>
      </c>
      <c r="H140" s="10" t="s">
        <v>430</v>
      </c>
      <c r="I140" s="10"/>
      <c r="J140" s="10"/>
      <c r="K140" s="10"/>
      <c r="L140" s="12">
        <f>计价规则!$B$2+计价规则!$B$3*MAX(0,IF(H140="",0,LEN(H140)-LEN(SUBSTITUTE(H140,"、",""))+1)-(IF(ISNUMBER(SEARCH("WiFi通信模块",H140)),1,0)+IF(ISNUMBER(SEARCH("ESP8266 WiFi模块",H140)),1,0)+IF(ISNUMBER(SEARCH("NRF24L01无线通信模块",H140)),1,0)+IF(ISNUMBER(SEARCH("蓝牙模块",H140)),1,0)+IF(ISNUMBER(SEARCH("语音识别模块",H140)),1,0)+IF(ISNUMBER(SEARCH("语音播报模块",H140)),1,0)+IF(ISNUMBER(SEARCH("RFID模块",H140)),1,0)+IF(ISNUMBER(SEARCH("RFID读卡模块",H140)),1,0)+IF(ISNUMBER(SEARCH("GPS定位模块",H140)),1,0)+IF(ISNUMBER(SEARCH("GSM通信模块",H140)),1,0)+IF(ISNUMBER(SEARCH("摄像头模块",H140)),1,0)+IF(ISNUMBER(SEARCH("人脸识别模块",H140)),1,0)+IF(ISNUMBER(SEARCH("手势识别传感器",H140)),1,0)))</f>
        <v>90</v>
      </c>
      <c r="M140" s="12">
        <f>计价规则!$B$4+计价规则!$B$5*IF(H140="",0,LEN(H140)-LEN(SUBSTITUTE(H140,"、",""))+1)</f>
        <v>90</v>
      </c>
      <c r="N140" s="12"/>
      <c r="O140" s="12">
        <f>计价规则!$B$6</f>
        <v>100</v>
      </c>
      <c r="P140" s="12">
        <f>计价规则!$B$6</f>
        <v>100</v>
      </c>
      <c r="Q140" s="12">
        <f>计价规则!$B$6</f>
        <v>100</v>
      </c>
      <c r="R140" s="12">
        <f>计价规则!$B$7</f>
        <v>400</v>
      </c>
      <c r="S140" s="8" t="s">
        <v>26</v>
      </c>
      <c r="T140" s="13">
        <v>139</v>
      </c>
    </row>
    <row r="141" ht="26" customHeight="1" spans="1:20">
      <c r="A141" s="8">
        <f t="shared" si="2"/>
        <v>140</v>
      </c>
      <c r="B141" s="8" t="s">
        <v>289</v>
      </c>
      <c r="C141" s="9" t="s">
        <v>431</v>
      </c>
      <c r="D141" s="10" t="s">
        <v>432</v>
      </c>
      <c r="E141" s="11" t="s">
        <v>23</v>
      </c>
      <c r="F141" s="11"/>
      <c r="G141" s="10" t="s">
        <v>414</v>
      </c>
      <c r="H141" s="10" t="s">
        <v>433</v>
      </c>
      <c r="I141" s="10"/>
      <c r="J141" s="10"/>
      <c r="K141" s="10"/>
      <c r="L141" s="12">
        <f>计价规则!$B$2+计价规则!$B$3*MAX(0,IF(H141="",0,LEN(H141)-LEN(SUBSTITUTE(H141,"、",""))+1)-(IF(ISNUMBER(SEARCH("WiFi通信模块",H141)),1,0)+IF(ISNUMBER(SEARCH("ESP8266 WiFi模块",H141)),1,0)+IF(ISNUMBER(SEARCH("NRF24L01无线通信模块",H141)),1,0)+IF(ISNUMBER(SEARCH("蓝牙模块",H141)),1,0)+IF(ISNUMBER(SEARCH("语音识别模块",H141)),1,0)+IF(ISNUMBER(SEARCH("语音播报模块",H141)),1,0)+IF(ISNUMBER(SEARCH("RFID模块",H141)),1,0)+IF(ISNUMBER(SEARCH("RFID读卡模块",H141)),1,0)+IF(ISNUMBER(SEARCH("GPS定位模块",H141)),1,0)+IF(ISNUMBER(SEARCH("GSM通信模块",H141)),1,0)+IF(ISNUMBER(SEARCH("摄像头模块",H141)),1,0)+IF(ISNUMBER(SEARCH("人脸识别模块",H141)),1,0)+IF(ISNUMBER(SEARCH("手势识别传感器",H141)),1,0)))</f>
        <v>105</v>
      </c>
      <c r="M141" s="12">
        <f>计价规则!$B$4+计价规则!$B$5*IF(H141="",0,LEN(H141)-LEN(SUBSTITUTE(H141,"、",""))+1)</f>
        <v>110</v>
      </c>
      <c r="N141" s="12"/>
      <c r="O141" s="12">
        <f>计价规则!$B$6</f>
        <v>100</v>
      </c>
      <c r="P141" s="12">
        <f>计价规则!$B$6</f>
        <v>100</v>
      </c>
      <c r="Q141" s="12">
        <f>计价规则!$B$6</f>
        <v>100</v>
      </c>
      <c r="R141" s="12">
        <f>计价规则!$B$7</f>
        <v>400</v>
      </c>
      <c r="S141" s="8" t="s">
        <v>26</v>
      </c>
      <c r="T141" s="13">
        <v>140</v>
      </c>
    </row>
    <row r="142" ht="26" customHeight="1" spans="1:20">
      <c r="A142" s="8">
        <f t="shared" si="2"/>
        <v>141</v>
      </c>
      <c r="B142" s="8" t="s">
        <v>289</v>
      </c>
      <c r="C142" s="9" t="s">
        <v>434</v>
      </c>
      <c r="D142" s="10" t="s">
        <v>435</v>
      </c>
      <c r="E142" s="11" t="s">
        <v>23</v>
      </c>
      <c r="F142" s="11"/>
      <c r="G142" s="10" t="s">
        <v>24</v>
      </c>
      <c r="H142" s="10" t="s">
        <v>436</v>
      </c>
      <c r="I142" s="10"/>
      <c r="J142" s="10"/>
      <c r="K142" s="10"/>
      <c r="L142" s="12">
        <f>计价规则!$B$2+计价规则!$B$3*MAX(0,IF(H142="",0,LEN(H142)-LEN(SUBSTITUTE(H142,"、",""))+1)-(IF(ISNUMBER(SEARCH("WiFi通信模块",H142)),1,0)+IF(ISNUMBER(SEARCH("ESP8266 WiFi模块",H142)),1,0)+IF(ISNUMBER(SEARCH("NRF24L01无线通信模块",H142)),1,0)+IF(ISNUMBER(SEARCH("蓝牙模块",H142)),1,0)+IF(ISNUMBER(SEARCH("语音识别模块",H142)),1,0)+IF(ISNUMBER(SEARCH("语音播报模块",H142)),1,0)+IF(ISNUMBER(SEARCH("RFID模块",H142)),1,0)+IF(ISNUMBER(SEARCH("RFID读卡模块",H142)),1,0)+IF(ISNUMBER(SEARCH("GPS定位模块",H142)),1,0)+IF(ISNUMBER(SEARCH("GSM通信模块",H142)),1,0)+IF(ISNUMBER(SEARCH("摄像头模块",H142)),1,0)+IF(ISNUMBER(SEARCH("人脸识别模块",H142)),1,0)+IF(ISNUMBER(SEARCH("手势识别传感器",H142)),1,0)))</f>
        <v>105</v>
      </c>
      <c r="M142" s="12">
        <f>计价规则!$B$4+计价规则!$B$5*IF(H142="",0,LEN(H142)-LEN(SUBSTITUTE(H142,"、",""))+1)</f>
        <v>110</v>
      </c>
      <c r="N142" s="12"/>
      <c r="O142" s="12">
        <f>计价规则!$B$6</f>
        <v>100</v>
      </c>
      <c r="P142" s="12">
        <f>计价规则!$B$6</f>
        <v>100</v>
      </c>
      <c r="Q142" s="12">
        <f>计价规则!$B$6</f>
        <v>100</v>
      </c>
      <c r="R142" s="12">
        <f>计价规则!$B$7</f>
        <v>400</v>
      </c>
      <c r="S142" s="8" t="s">
        <v>26</v>
      </c>
      <c r="T142" s="13">
        <v>141</v>
      </c>
    </row>
    <row r="143" ht="26" customHeight="1" spans="1:20">
      <c r="A143" s="8">
        <f t="shared" si="2"/>
        <v>142</v>
      </c>
      <c r="B143" s="8" t="s">
        <v>289</v>
      </c>
      <c r="C143" s="9" t="s">
        <v>437</v>
      </c>
      <c r="D143" s="10" t="s">
        <v>438</v>
      </c>
      <c r="E143" s="11" t="s">
        <v>23</v>
      </c>
      <c r="F143" s="11"/>
      <c r="G143" s="10" t="s">
        <v>24</v>
      </c>
      <c r="H143" s="10" t="s">
        <v>94</v>
      </c>
      <c r="I143" s="10"/>
      <c r="J143" s="10"/>
      <c r="K143" s="10"/>
      <c r="L143" s="12">
        <f>计价规则!$B$2+计价规则!$B$3*MAX(0,IF(H143="",0,LEN(H143)-LEN(SUBSTITUTE(H143,"、",""))+1)-(IF(ISNUMBER(SEARCH("WiFi通信模块",H143)),1,0)+IF(ISNUMBER(SEARCH("ESP8266 WiFi模块",H143)),1,0)+IF(ISNUMBER(SEARCH("NRF24L01无线通信模块",H143)),1,0)+IF(ISNUMBER(SEARCH("蓝牙模块",H143)),1,0)+IF(ISNUMBER(SEARCH("语音识别模块",H143)),1,0)+IF(ISNUMBER(SEARCH("语音播报模块",H143)),1,0)+IF(ISNUMBER(SEARCH("RFID模块",H143)),1,0)+IF(ISNUMBER(SEARCH("RFID读卡模块",H143)),1,0)+IF(ISNUMBER(SEARCH("GPS定位模块",H143)),1,0)+IF(ISNUMBER(SEARCH("GSM通信模块",H143)),1,0)+IF(ISNUMBER(SEARCH("摄像头模块",H143)),1,0)+IF(ISNUMBER(SEARCH("人脸识别模块",H143)),1,0)+IF(ISNUMBER(SEARCH("手势识别传感器",H143)),1,0)))</f>
        <v>105</v>
      </c>
      <c r="M143" s="12">
        <f>计价规则!$B$4+计价规则!$B$5*IF(H143="",0,LEN(H143)-LEN(SUBSTITUTE(H143,"、",""))+1)</f>
        <v>110</v>
      </c>
      <c r="N143" s="12"/>
      <c r="O143" s="12">
        <f>计价规则!$B$6</f>
        <v>100</v>
      </c>
      <c r="P143" s="12">
        <f>计价规则!$B$6</f>
        <v>100</v>
      </c>
      <c r="Q143" s="12">
        <f>计价规则!$B$6</f>
        <v>100</v>
      </c>
      <c r="R143" s="12">
        <f>计价规则!$B$7</f>
        <v>400</v>
      </c>
      <c r="S143" s="8" t="s">
        <v>26</v>
      </c>
      <c r="T143" s="13">
        <v>142</v>
      </c>
    </row>
    <row r="144" ht="26" customHeight="1" spans="1:20">
      <c r="A144" s="8">
        <f t="shared" si="2"/>
        <v>143</v>
      </c>
      <c r="B144" s="8" t="s">
        <v>289</v>
      </c>
      <c r="C144" s="9" t="s">
        <v>439</v>
      </c>
      <c r="D144" s="10" t="s">
        <v>440</v>
      </c>
      <c r="E144" s="11" t="s">
        <v>23</v>
      </c>
      <c r="F144" s="11"/>
      <c r="G144" s="10" t="s">
        <v>24</v>
      </c>
      <c r="H144" s="10" t="s">
        <v>441</v>
      </c>
      <c r="I144" s="10"/>
      <c r="J144" s="10"/>
      <c r="K144" s="10"/>
      <c r="L144" s="12">
        <f>计价规则!$B$2+计价规则!$B$3*MAX(0,IF(H144="",0,LEN(H144)-LEN(SUBSTITUTE(H144,"、",""))+1)-(IF(ISNUMBER(SEARCH("WiFi通信模块",H144)),1,0)+IF(ISNUMBER(SEARCH("ESP8266 WiFi模块",H144)),1,0)+IF(ISNUMBER(SEARCH("NRF24L01无线通信模块",H144)),1,0)+IF(ISNUMBER(SEARCH("蓝牙模块",H144)),1,0)+IF(ISNUMBER(SEARCH("语音识别模块",H144)),1,0)+IF(ISNUMBER(SEARCH("语音播报模块",H144)),1,0)+IF(ISNUMBER(SEARCH("RFID模块",H144)),1,0)+IF(ISNUMBER(SEARCH("RFID读卡模块",H144)),1,0)+IF(ISNUMBER(SEARCH("GPS定位模块",H144)),1,0)+IF(ISNUMBER(SEARCH("GSM通信模块",H144)),1,0)+IF(ISNUMBER(SEARCH("摄像头模块",H144)),1,0)+IF(ISNUMBER(SEARCH("人脸识别模块",H144)),1,0)+IF(ISNUMBER(SEARCH("手势识别传感器",H144)),1,0)))</f>
        <v>105</v>
      </c>
      <c r="M144" s="12">
        <f>计价规则!$B$4+计价规则!$B$5*IF(H144="",0,LEN(H144)-LEN(SUBSTITUTE(H144,"、",""))+1)</f>
        <v>110</v>
      </c>
      <c r="N144" s="12"/>
      <c r="O144" s="12">
        <f>计价规则!$B$6</f>
        <v>100</v>
      </c>
      <c r="P144" s="12">
        <f>计价规则!$B$6</f>
        <v>100</v>
      </c>
      <c r="Q144" s="12">
        <f>计价规则!$B$6</f>
        <v>100</v>
      </c>
      <c r="R144" s="12">
        <f>计价规则!$B$7</f>
        <v>400</v>
      </c>
      <c r="S144" s="8" t="s">
        <v>26</v>
      </c>
      <c r="T144" s="13">
        <v>143</v>
      </c>
    </row>
    <row r="145" ht="26" customHeight="1" spans="1:20">
      <c r="A145" s="8">
        <f t="shared" si="2"/>
        <v>144</v>
      </c>
      <c r="B145" s="8" t="s">
        <v>289</v>
      </c>
      <c r="C145" s="9" t="s">
        <v>442</v>
      </c>
      <c r="D145" s="10" t="s">
        <v>443</v>
      </c>
      <c r="E145" s="11" t="s">
        <v>23</v>
      </c>
      <c r="F145" s="11"/>
      <c r="G145" s="10" t="s">
        <v>81</v>
      </c>
      <c r="H145" s="10" t="s">
        <v>444</v>
      </c>
      <c r="I145" s="10"/>
      <c r="J145" s="10"/>
      <c r="K145" s="10"/>
      <c r="L145" s="12">
        <f>计价规则!$B$2+计价规则!$B$3*MAX(0,IF(H145="",0,LEN(H145)-LEN(SUBSTITUTE(H145,"、",""))+1)-(IF(ISNUMBER(SEARCH("WiFi通信模块",H145)),1,0)+IF(ISNUMBER(SEARCH("ESP8266 WiFi模块",H145)),1,0)+IF(ISNUMBER(SEARCH("NRF24L01无线通信模块",H145)),1,0)+IF(ISNUMBER(SEARCH("蓝牙模块",H145)),1,0)+IF(ISNUMBER(SEARCH("语音识别模块",H145)),1,0)+IF(ISNUMBER(SEARCH("语音播报模块",H145)),1,0)+IF(ISNUMBER(SEARCH("RFID模块",H145)),1,0)+IF(ISNUMBER(SEARCH("RFID读卡模块",H145)),1,0)+IF(ISNUMBER(SEARCH("GPS定位模块",H145)),1,0)+IF(ISNUMBER(SEARCH("GSM通信模块",H145)),1,0)+IF(ISNUMBER(SEARCH("摄像头模块",H145)),1,0)+IF(ISNUMBER(SEARCH("人脸识别模块",H145)),1,0)+IF(ISNUMBER(SEARCH("手势识别传感器",H145)),1,0)))</f>
        <v>90</v>
      </c>
      <c r="M145" s="12">
        <f>计价规则!$B$4+计价规则!$B$5*IF(H145="",0,LEN(H145)-LEN(SUBSTITUTE(H145,"、",""))+1)</f>
        <v>90</v>
      </c>
      <c r="N145" s="12"/>
      <c r="O145" s="12">
        <f>计价规则!$B$6</f>
        <v>100</v>
      </c>
      <c r="P145" s="12">
        <f>计价规则!$B$6</f>
        <v>100</v>
      </c>
      <c r="Q145" s="12">
        <f>计价规则!$B$6</f>
        <v>100</v>
      </c>
      <c r="R145" s="12">
        <f>计价规则!$B$7</f>
        <v>400</v>
      </c>
      <c r="S145" s="8" t="s">
        <v>26</v>
      </c>
      <c r="T145" s="13">
        <v>144</v>
      </c>
    </row>
    <row r="146" ht="26" customHeight="1" spans="1:20">
      <c r="A146" s="8">
        <f t="shared" si="2"/>
        <v>145</v>
      </c>
      <c r="B146" s="8" t="s">
        <v>289</v>
      </c>
      <c r="C146" s="9" t="s">
        <v>445</v>
      </c>
      <c r="D146" s="10" t="s">
        <v>446</v>
      </c>
      <c r="E146" s="11" t="s">
        <v>23</v>
      </c>
      <c r="F146" s="11"/>
      <c r="G146" s="10" t="s">
        <v>24</v>
      </c>
      <c r="H146" s="10" t="s">
        <v>418</v>
      </c>
      <c r="I146" s="10"/>
      <c r="J146" s="10"/>
      <c r="K146" s="10"/>
      <c r="L146" s="12">
        <f>计价规则!$B$2+计价规则!$B$3*MAX(0,IF(H146="",0,LEN(H146)-LEN(SUBSTITUTE(H146,"、",""))+1)-(IF(ISNUMBER(SEARCH("WiFi通信模块",H146)),1,0)+IF(ISNUMBER(SEARCH("ESP8266 WiFi模块",H146)),1,0)+IF(ISNUMBER(SEARCH("NRF24L01无线通信模块",H146)),1,0)+IF(ISNUMBER(SEARCH("蓝牙模块",H146)),1,0)+IF(ISNUMBER(SEARCH("语音识别模块",H146)),1,0)+IF(ISNUMBER(SEARCH("语音播报模块",H146)),1,0)+IF(ISNUMBER(SEARCH("RFID模块",H146)),1,0)+IF(ISNUMBER(SEARCH("RFID读卡模块",H146)),1,0)+IF(ISNUMBER(SEARCH("GPS定位模块",H146)),1,0)+IF(ISNUMBER(SEARCH("GSM通信模块",H146)),1,0)+IF(ISNUMBER(SEARCH("摄像头模块",H146)),1,0)+IF(ISNUMBER(SEARCH("人脸识别模块",H146)),1,0)+IF(ISNUMBER(SEARCH("手势识别传感器",H146)),1,0)))</f>
        <v>105</v>
      </c>
      <c r="M146" s="12">
        <f>计价规则!$B$4+计价规则!$B$5*IF(H146="",0,LEN(H146)-LEN(SUBSTITUTE(H146,"、",""))+1)</f>
        <v>110</v>
      </c>
      <c r="N146" s="12"/>
      <c r="O146" s="12">
        <f>计价规则!$B$6</f>
        <v>100</v>
      </c>
      <c r="P146" s="12">
        <f>计价规则!$B$6</f>
        <v>100</v>
      </c>
      <c r="Q146" s="12">
        <f>计价规则!$B$6</f>
        <v>100</v>
      </c>
      <c r="R146" s="12">
        <f>计价规则!$B$7</f>
        <v>400</v>
      </c>
      <c r="S146" s="8" t="s">
        <v>26</v>
      </c>
      <c r="T146" s="13">
        <v>145</v>
      </c>
    </row>
    <row r="147" ht="26" customHeight="1" spans="1:20">
      <c r="A147" s="8">
        <f t="shared" si="2"/>
        <v>146</v>
      </c>
      <c r="B147" s="8" t="s">
        <v>289</v>
      </c>
      <c r="C147" s="9" t="s">
        <v>447</v>
      </c>
      <c r="D147" s="10" t="s">
        <v>448</v>
      </c>
      <c r="E147" s="11" t="s">
        <v>23</v>
      </c>
      <c r="F147" s="11"/>
      <c r="G147" s="10" t="s">
        <v>414</v>
      </c>
      <c r="H147" s="10" t="s">
        <v>449</v>
      </c>
      <c r="I147" s="10"/>
      <c r="J147" s="10"/>
      <c r="K147" s="10"/>
      <c r="L147" s="12">
        <f>计价规则!$B$2+计价规则!$B$3*MAX(0,IF(H147="",0,LEN(H147)-LEN(SUBSTITUTE(H147,"、",""))+1)-(IF(ISNUMBER(SEARCH("WiFi通信模块",H147)),1,0)+IF(ISNUMBER(SEARCH("ESP8266 WiFi模块",H147)),1,0)+IF(ISNUMBER(SEARCH("NRF24L01无线通信模块",H147)),1,0)+IF(ISNUMBER(SEARCH("蓝牙模块",H147)),1,0)+IF(ISNUMBER(SEARCH("语音识别模块",H147)),1,0)+IF(ISNUMBER(SEARCH("语音播报模块",H147)),1,0)+IF(ISNUMBER(SEARCH("RFID模块",H147)),1,0)+IF(ISNUMBER(SEARCH("RFID读卡模块",H147)),1,0)+IF(ISNUMBER(SEARCH("GPS定位模块",H147)),1,0)+IF(ISNUMBER(SEARCH("GSM通信模块",H147)),1,0)+IF(ISNUMBER(SEARCH("摄像头模块",H147)),1,0)+IF(ISNUMBER(SEARCH("人脸识别模块",H147)),1,0)+IF(ISNUMBER(SEARCH("手势识别传感器",H147)),1,0)))</f>
        <v>105</v>
      </c>
      <c r="M147" s="12">
        <f>计价规则!$B$4+计价规则!$B$5*IF(H147="",0,LEN(H147)-LEN(SUBSTITUTE(H147,"、",""))+1)</f>
        <v>110</v>
      </c>
      <c r="N147" s="12"/>
      <c r="O147" s="12">
        <f>计价规则!$B$6</f>
        <v>100</v>
      </c>
      <c r="P147" s="12">
        <f>计价规则!$B$6</f>
        <v>100</v>
      </c>
      <c r="Q147" s="12">
        <f>计价规则!$B$6</f>
        <v>100</v>
      </c>
      <c r="R147" s="12">
        <f>计价规则!$B$7</f>
        <v>400</v>
      </c>
      <c r="S147" s="8" t="s">
        <v>26</v>
      </c>
      <c r="T147" s="13">
        <v>146</v>
      </c>
    </row>
    <row r="148" ht="26" customHeight="1" spans="1:20">
      <c r="A148" s="8">
        <f t="shared" si="2"/>
        <v>147</v>
      </c>
      <c r="B148" s="8" t="s">
        <v>289</v>
      </c>
      <c r="C148" s="9" t="s">
        <v>450</v>
      </c>
      <c r="D148" s="10" t="s">
        <v>451</v>
      </c>
      <c r="E148" s="11" t="s">
        <v>23</v>
      </c>
      <c r="F148" s="11"/>
      <c r="G148" s="10" t="s">
        <v>54</v>
      </c>
      <c r="H148" s="10" t="s">
        <v>452</v>
      </c>
      <c r="I148" s="10"/>
      <c r="J148" s="10"/>
      <c r="K148" s="10"/>
      <c r="L148" s="12">
        <f>计价规则!$B$2+计价规则!$B$3*MAX(0,IF(H148="",0,LEN(H148)-LEN(SUBSTITUTE(H148,"、",""))+1)-(IF(ISNUMBER(SEARCH("WiFi通信模块",H148)),1,0)+IF(ISNUMBER(SEARCH("ESP8266 WiFi模块",H148)),1,0)+IF(ISNUMBER(SEARCH("NRF24L01无线通信模块",H148)),1,0)+IF(ISNUMBER(SEARCH("蓝牙模块",H148)),1,0)+IF(ISNUMBER(SEARCH("语音识别模块",H148)),1,0)+IF(ISNUMBER(SEARCH("语音播报模块",H148)),1,0)+IF(ISNUMBER(SEARCH("RFID模块",H148)),1,0)+IF(ISNUMBER(SEARCH("RFID读卡模块",H148)),1,0)+IF(ISNUMBER(SEARCH("GPS定位模块",H148)),1,0)+IF(ISNUMBER(SEARCH("GSM通信模块",H148)),1,0)+IF(ISNUMBER(SEARCH("摄像头模块",H148)),1,0)+IF(ISNUMBER(SEARCH("人脸识别模块",H148)),1,0)+IF(ISNUMBER(SEARCH("手势识别传感器",H148)),1,0)))</f>
        <v>90</v>
      </c>
      <c r="M148" s="12">
        <f>计价规则!$B$4+计价规则!$B$5*IF(H148="",0,LEN(H148)-LEN(SUBSTITUTE(H148,"、",""))+1)</f>
        <v>90</v>
      </c>
      <c r="N148" s="12"/>
      <c r="O148" s="12">
        <f>计价规则!$B$6</f>
        <v>100</v>
      </c>
      <c r="P148" s="12">
        <f>计价规则!$B$6</f>
        <v>100</v>
      </c>
      <c r="Q148" s="12">
        <f>计价规则!$B$6</f>
        <v>100</v>
      </c>
      <c r="R148" s="12">
        <f>计价规则!$B$7</f>
        <v>400</v>
      </c>
      <c r="S148" s="8" t="s">
        <v>26</v>
      </c>
      <c r="T148" s="13">
        <v>147</v>
      </c>
    </row>
    <row r="149" ht="26" customHeight="1" spans="1:20">
      <c r="A149" s="8">
        <f t="shared" si="2"/>
        <v>148</v>
      </c>
      <c r="B149" s="8" t="s">
        <v>289</v>
      </c>
      <c r="C149" s="9" t="s">
        <v>453</v>
      </c>
      <c r="D149" s="10" t="s">
        <v>454</v>
      </c>
      <c r="E149" s="11" t="s">
        <v>23</v>
      </c>
      <c r="F149" s="11"/>
      <c r="G149" s="10" t="s">
        <v>81</v>
      </c>
      <c r="H149" s="10" t="s">
        <v>455</v>
      </c>
      <c r="I149" s="10"/>
      <c r="J149" s="10"/>
      <c r="K149" s="10"/>
      <c r="L149" s="12">
        <f>计价规则!$B$2+计价规则!$B$3*MAX(0,IF(H149="",0,LEN(H149)-LEN(SUBSTITUTE(H149,"、",""))+1)-(IF(ISNUMBER(SEARCH("WiFi通信模块",H149)),1,0)+IF(ISNUMBER(SEARCH("ESP8266 WiFi模块",H149)),1,0)+IF(ISNUMBER(SEARCH("NRF24L01无线通信模块",H149)),1,0)+IF(ISNUMBER(SEARCH("蓝牙模块",H149)),1,0)+IF(ISNUMBER(SEARCH("语音识别模块",H149)),1,0)+IF(ISNUMBER(SEARCH("语音播报模块",H149)),1,0)+IF(ISNUMBER(SEARCH("RFID模块",H149)),1,0)+IF(ISNUMBER(SEARCH("RFID读卡模块",H149)),1,0)+IF(ISNUMBER(SEARCH("GPS定位模块",H149)),1,0)+IF(ISNUMBER(SEARCH("GSM通信模块",H149)),1,0)+IF(ISNUMBER(SEARCH("摄像头模块",H149)),1,0)+IF(ISNUMBER(SEARCH("人脸识别模块",H149)),1,0)+IF(ISNUMBER(SEARCH("手势识别传感器",H149)),1,0)))</f>
        <v>105</v>
      </c>
      <c r="M149" s="12">
        <f>计价规则!$B$4+计价规则!$B$5*IF(H149="",0,LEN(H149)-LEN(SUBSTITUTE(H149,"、",""))+1)</f>
        <v>110</v>
      </c>
      <c r="N149" s="12"/>
      <c r="O149" s="12">
        <f>计价规则!$B$6</f>
        <v>100</v>
      </c>
      <c r="P149" s="12">
        <f>计价规则!$B$6</f>
        <v>100</v>
      </c>
      <c r="Q149" s="12">
        <f>计价规则!$B$6</f>
        <v>100</v>
      </c>
      <c r="R149" s="12">
        <f>计价规则!$B$7</f>
        <v>400</v>
      </c>
      <c r="S149" s="8" t="s">
        <v>26</v>
      </c>
      <c r="T149" s="13">
        <v>148</v>
      </c>
    </row>
    <row r="150" ht="26" customHeight="1" spans="1:20">
      <c r="A150" s="8">
        <f t="shared" si="2"/>
        <v>149</v>
      </c>
      <c r="B150" s="8" t="s">
        <v>289</v>
      </c>
      <c r="C150" s="9" t="s">
        <v>456</v>
      </c>
      <c r="D150" s="10" t="s">
        <v>457</v>
      </c>
      <c r="E150" s="11" t="s">
        <v>23</v>
      </c>
      <c r="F150" s="11"/>
      <c r="G150" s="10" t="s">
        <v>305</v>
      </c>
      <c r="H150" s="10" t="s">
        <v>458</v>
      </c>
      <c r="I150" s="10"/>
      <c r="J150" s="10"/>
      <c r="K150" s="10"/>
      <c r="L150" s="12">
        <f>计价规则!$B$2+计价规则!$B$3*MAX(0,IF(H150="",0,LEN(H150)-LEN(SUBSTITUTE(H150,"、",""))+1)-(IF(ISNUMBER(SEARCH("WiFi通信模块",H150)),1,0)+IF(ISNUMBER(SEARCH("ESP8266 WiFi模块",H150)),1,0)+IF(ISNUMBER(SEARCH("NRF24L01无线通信模块",H150)),1,0)+IF(ISNUMBER(SEARCH("蓝牙模块",H150)),1,0)+IF(ISNUMBER(SEARCH("语音识别模块",H150)),1,0)+IF(ISNUMBER(SEARCH("语音播报模块",H150)),1,0)+IF(ISNUMBER(SEARCH("RFID模块",H150)),1,0)+IF(ISNUMBER(SEARCH("RFID读卡模块",H150)),1,0)+IF(ISNUMBER(SEARCH("GPS定位模块",H150)),1,0)+IF(ISNUMBER(SEARCH("GSM通信模块",H150)),1,0)+IF(ISNUMBER(SEARCH("摄像头模块",H150)),1,0)+IF(ISNUMBER(SEARCH("人脸识别模块",H150)),1,0)+IF(ISNUMBER(SEARCH("手势识别传感器",H150)),1,0)))</f>
        <v>105</v>
      </c>
      <c r="M150" s="12">
        <f>计价规则!$B$4+计价规则!$B$5*IF(H150="",0,LEN(H150)-LEN(SUBSTITUTE(H150,"、",""))+1)</f>
        <v>110</v>
      </c>
      <c r="N150" s="12"/>
      <c r="O150" s="12">
        <f>计价规则!$B$6</f>
        <v>100</v>
      </c>
      <c r="P150" s="12">
        <f>计价规则!$B$6</f>
        <v>100</v>
      </c>
      <c r="Q150" s="12">
        <f>计价规则!$B$6</f>
        <v>100</v>
      </c>
      <c r="R150" s="12">
        <f>计价规则!$B$7</f>
        <v>400</v>
      </c>
      <c r="S150" s="8" t="s">
        <v>26</v>
      </c>
      <c r="T150" s="13">
        <v>149</v>
      </c>
    </row>
    <row r="151" ht="26" customHeight="1" spans="1:20">
      <c r="A151" s="8">
        <f t="shared" si="2"/>
        <v>150</v>
      </c>
      <c r="B151" s="8" t="s">
        <v>289</v>
      </c>
      <c r="C151" s="9" t="s">
        <v>459</v>
      </c>
      <c r="D151" s="10" t="s">
        <v>460</v>
      </c>
      <c r="E151" s="11" t="s">
        <v>23</v>
      </c>
      <c r="F151" s="11"/>
      <c r="G151" s="10" t="s">
        <v>414</v>
      </c>
      <c r="H151" s="10" t="s">
        <v>461</v>
      </c>
      <c r="I151" s="10"/>
      <c r="J151" s="10"/>
      <c r="K151" s="10"/>
      <c r="L151" s="12">
        <f>计价规则!$B$2+计价规则!$B$3*MAX(0,IF(H151="",0,LEN(H151)-LEN(SUBSTITUTE(H151,"、",""))+1)-(IF(ISNUMBER(SEARCH("WiFi通信模块",H151)),1,0)+IF(ISNUMBER(SEARCH("ESP8266 WiFi模块",H151)),1,0)+IF(ISNUMBER(SEARCH("NRF24L01无线通信模块",H151)),1,0)+IF(ISNUMBER(SEARCH("蓝牙模块",H151)),1,0)+IF(ISNUMBER(SEARCH("语音识别模块",H151)),1,0)+IF(ISNUMBER(SEARCH("语音播报模块",H151)),1,0)+IF(ISNUMBER(SEARCH("RFID模块",H151)),1,0)+IF(ISNUMBER(SEARCH("RFID读卡模块",H151)),1,0)+IF(ISNUMBER(SEARCH("GPS定位模块",H151)),1,0)+IF(ISNUMBER(SEARCH("GSM通信模块",H151)),1,0)+IF(ISNUMBER(SEARCH("摄像头模块",H151)),1,0)+IF(ISNUMBER(SEARCH("人脸识别模块",H151)),1,0)+IF(ISNUMBER(SEARCH("手势识别传感器",H151)),1,0)))</f>
        <v>105</v>
      </c>
      <c r="M151" s="12">
        <f>计价规则!$B$4+计价规则!$B$5*IF(H151="",0,LEN(H151)-LEN(SUBSTITUTE(H151,"、",""))+1)</f>
        <v>110</v>
      </c>
      <c r="N151" s="12"/>
      <c r="O151" s="12">
        <f>计价规则!$B$6</f>
        <v>100</v>
      </c>
      <c r="P151" s="12">
        <f>计价规则!$B$6</f>
        <v>100</v>
      </c>
      <c r="Q151" s="12">
        <f>计价规则!$B$6</f>
        <v>100</v>
      </c>
      <c r="R151" s="12">
        <f>计价规则!$B$7</f>
        <v>400</v>
      </c>
      <c r="S151" s="8" t="s">
        <v>26</v>
      </c>
      <c r="T151" s="13">
        <v>150</v>
      </c>
    </row>
    <row r="152" ht="26" customHeight="1" spans="1:20">
      <c r="A152" s="8">
        <f t="shared" si="2"/>
        <v>151</v>
      </c>
      <c r="B152" s="8" t="s">
        <v>289</v>
      </c>
      <c r="C152" s="9" t="s">
        <v>462</v>
      </c>
      <c r="D152" s="10" t="s">
        <v>463</v>
      </c>
      <c r="E152" s="11" t="s">
        <v>23</v>
      </c>
      <c r="F152" s="11"/>
      <c r="G152" s="10" t="s">
        <v>464</v>
      </c>
      <c r="H152" s="10" t="s">
        <v>465</v>
      </c>
      <c r="I152" s="10"/>
      <c r="J152" s="10"/>
      <c r="K152" s="10"/>
      <c r="L152" s="12">
        <f>计价规则!$B$2+计价规则!$B$3*MAX(0,IF(H152="",0,LEN(H152)-LEN(SUBSTITUTE(H152,"、",""))+1)-(IF(ISNUMBER(SEARCH("WiFi通信模块",H152)),1,0)+IF(ISNUMBER(SEARCH("ESP8266 WiFi模块",H152)),1,0)+IF(ISNUMBER(SEARCH("NRF24L01无线通信模块",H152)),1,0)+IF(ISNUMBER(SEARCH("蓝牙模块",H152)),1,0)+IF(ISNUMBER(SEARCH("语音识别模块",H152)),1,0)+IF(ISNUMBER(SEARCH("语音播报模块",H152)),1,0)+IF(ISNUMBER(SEARCH("RFID模块",H152)),1,0)+IF(ISNUMBER(SEARCH("RFID读卡模块",H152)),1,0)+IF(ISNUMBER(SEARCH("GPS定位模块",H152)),1,0)+IF(ISNUMBER(SEARCH("GSM通信模块",H152)),1,0)+IF(ISNUMBER(SEARCH("摄像头模块",H152)),1,0)+IF(ISNUMBER(SEARCH("人脸识别模块",H152)),1,0)+IF(ISNUMBER(SEARCH("手势识别传感器",H152)),1,0)))</f>
        <v>105</v>
      </c>
      <c r="M152" s="12">
        <f>计价规则!$B$4+计价规则!$B$5*IF(H152="",0,LEN(H152)-LEN(SUBSTITUTE(H152,"、",""))+1)</f>
        <v>110</v>
      </c>
      <c r="N152" s="12"/>
      <c r="O152" s="12">
        <f>计价规则!$B$6</f>
        <v>100</v>
      </c>
      <c r="P152" s="12">
        <f>计价规则!$B$6</f>
        <v>100</v>
      </c>
      <c r="Q152" s="12">
        <f>计价规则!$B$6</f>
        <v>100</v>
      </c>
      <c r="R152" s="12">
        <f>计价规则!$B$7</f>
        <v>400</v>
      </c>
      <c r="S152" s="8" t="s">
        <v>26</v>
      </c>
      <c r="T152" s="13">
        <v>151</v>
      </c>
    </row>
    <row r="153" ht="26" customHeight="1" spans="1:20">
      <c r="A153" s="8">
        <f t="shared" si="2"/>
        <v>152</v>
      </c>
      <c r="B153" s="8" t="s">
        <v>289</v>
      </c>
      <c r="C153" s="9" t="s">
        <v>466</v>
      </c>
      <c r="D153" s="10" t="s">
        <v>467</v>
      </c>
      <c r="E153" s="11" t="s">
        <v>23</v>
      </c>
      <c r="F153" s="11"/>
      <c r="G153" s="10" t="s">
        <v>464</v>
      </c>
      <c r="H153" s="10" t="s">
        <v>468</v>
      </c>
      <c r="I153" s="10"/>
      <c r="J153" s="10"/>
      <c r="K153" s="10"/>
      <c r="L153" s="12">
        <f>计价规则!$B$2+计价规则!$B$3*MAX(0,IF(H153="",0,LEN(H153)-LEN(SUBSTITUTE(H153,"、",""))+1)-(IF(ISNUMBER(SEARCH("WiFi通信模块",H153)),1,0)+IF(ISNUMBER(SEARCH("ESP8266 WiFi模块",H153)),1,0)+IF(ISNUMBER(SEARCH("NRF24L01无线通信模块",H153)),1,0)+IF(ISNUMBER(SEARCH("蓝牙模块",H153)),1,0)+IF(ISNUMBER(SEARCH("语音识别模块",H153)),1,0)+IF(ISNUMBER(SEARCH("语音播报模块",H153)),1,0)+IF(ISNUMBER(SEARCH("RFID模块",H153)),1,0)+IF(ISNUMBER(SEARCH("RFID读卡模块",H153)),1,0)+IF(ISNUMBER(SEARCH("GPS定位模块",H153)),1,0)+IF(ISNUMBER(SEARCH("GSM通信模块",H153)),1,0)+IF(ISNUMBER(SEARCH("摄像头模块",H153)),1,0)+IF(ISNUMBER(SEARCH("人脸识别模块",H153)),1,0)+IF(ISNUMBER(SEARCH("手势识别传感器",H153)),1,0)))</f>
        <v>105</v>
      </c>
      <c r="M153" s="12">
        <f>计价规则!$B$4+计价规则!$B$5*IF(H153="",0,LEN(H153)-LEN(SUBSTITUTE(H153,"、",""))+1)</f>
        <v>110</v>
      </c>
      <c r="N153" s="12"/>
      <c r="O153" s="12">
        <f>计价规则!$B$6</f>
        <v>100</v>
      </c>
      <c r="P153" s="12">
        <f>计价规则!$B$6</f>
        <v>100</v>
      </c>
      <c r="Q153" s="12">
        <f>计价规则!$B$6</f>
        <v>100</v>
      </c>
      <c r="R153" s="12">
        <f>计价规则!$B$7</f>
        <v>400</v>
      </c>
      <c r="S153" s="8" t="s">
        <v>26</v>
      </c>
      <c r="T153" s="13">
        <v>152</v>
      </c>
    </row>
    <row r="154" ht="26" customHeight="1" spans="1:20">
      <c r="A154" s="8">
        <f t="shared" si="2"/>
        <v>153</v>
      </c>
      <c r="B154" s="8" t="s">
        <v>289</v>
      </c>
      <c r="C154" s="9" t="s">
        <v>469</v>
      </c>
      <c r="D154" s="10" t="s">
        <v>470</v>
      </c>
      <c r="E154" s="11" t="s">
        <v>23</v>
      </c>
      <c r="F154" s="11"/>
      <c r="G154" s="10" t="s">
        <v>62</v>
      </c>
      <c r="H154" s="10" t="s">
        <v>471</v>
      </c>
      <c r="I154" s="10"/>
      <c r="J154" s="10"/>
      <c r="K154" s="10"/>
      <c r="L154" s="12">
        <f>计价规则!$B$2+计价规则!$B$3*MAX(0,IF(H154="",0,LEN(H154)-LEN(SUBSTITUTE(H154,"、",""))+1)-(IF(ISNUMBER(SEARCH("WiFi通信模块",H154)),1,0)+IF(ISNUMBER(SEARCH("ESP8266 WiFi模块",H154)),1,0)+IF(ISNUMBER(SEARCH("NRF24L01无线通信模块",H154)),1,0)+IF(ISNUMBER(SEARCH("蓝牙模块",H154)),1,0)+IF(ISNUMBER(SEARCH("语音识别模块",H154)),1,0)+IF(ISNUMBER(SEARCH("语音播报模块",H154)),1,0)+IF(ISNUMBER(SEARCH("RFID模块",H154)),1,0)+IF(ISNUMBER(SEARCH("RFID读卡模块",H154)),1,0)+IF(ISNUMBER(SEARCH("GPS定位模块",H154)),1,0)+IF(ISNUMBER(SEARCH("GSM通信模块",H154)),1,0)+IF(ISNUMBER(SEARCH("摄像头模块",H154)),1,0)+IF(ISNUMBER(SEARCH("人脸识别模块",H154)),1,0)+IF(ISNUMBER(SEARCH("手势识别传感器",H154)),1,0)))</f>
        <v>135</v>
      </c>
      <c r="M154" s="12">
        <f>计价规则!$B$4+计价规则!$B$5*IF(H154="",0,LEN(H154)-LEN(SUBSTITUTE(H154,"、",""))+1)</f>
        <v>150</v>
      </c>
      <c r="N154" s="12"/>
      <c r="O154" s="12">
        <f>计价规则!$B$6</f>
        <v>100</v>
      </c>
      <c r="P154" s="12">
        <f>计价规则!$B$6</f>
        <v>100</v>
      </c>
      <c r="Q154" s="12">
        <f>计价规则!$B$6</f>
        <v>100</v>
      </c>
      <c r="R154" s="12">
        <f>计价规则!$B$7</f>
        <v>400</v>
      </c>
      <c r="S154" s="8" t="s">
        <v>26</v>
      </c>
      <c r="T154" s="13">
        <v>153</v>
      </c>
    </row>
    <row r="155" ht="26" customHeight="1" spans="1:20">
      <c r="A155" s="8">
        <f t="shared" si="2"/>
        <v>154</v>
      </c>
      <c r="B155" s="8" t="s">
        <v>289</v>
      </c>
      <c r="C155" s="9" t="s">
        <v>472</v>
      </c>
      <c r="D155" s="10" t="s">
        <v>473</v>
      </c>
      <c r="E155" s="11" t="s">
        <v>23</v>
      </c>
      <c r="F155" s="11"/>
      <c r="G155" s="10" t="s">
        <v>474</v>
      </c>
      <c r="H155" s="10" t="s">
        <v>475</v>
      </c>
      <c r="I155" s="10"/>
      <c r="J155" s="10"/>
      <c r="K155" s="10"/>
      <c r="L155" s="12">
        <f>计价规则!$B$2+计价规则!$B$3*MAX(0,IF(H155="",0,LEN(H155)-LEN(SUBSTITUTE(H155,"、",""))+1)-(IF(ISNUMBER(SEARCH("WiFi通信模块",H155)),1,0)+IF(ISNUMBER(SEARCH("ESP8266 WiFi模块",H155)),1,0)+IF(ISNUMBER(SEARCH("NRF24L01无线通信模块",H155)),1,0)+IF(ISNUMBER(SEARCH("蓝牙模块",H155)),1,0)+IF(ISNUMBER(SEARCH("语音识别模块",H155)),1,0)+IF(ISNUMBER(SEARCH("语音播报模块",H155)),1,0)+IF(ISNUMBER(SEARCH("RFID模块",H155)),1,0)+IF(ISNUMBER(SEARCH("RFID读卡模块",H155)),1,0)+IF(ISNUMBER(SEARCH("GPS定位模块",H155)),1,0)+IF(ISNUMBER(SEARCH("GSM通信模块",H155)),1,0)+IF(ISNUMBER(SEARCH("摄像头模块",H155)),1,0)+IF(ISNUMBER(SEARCH("人脸识别模块",H155)),1,0)+IF(ISNUMBER(SEARCH("手势识别传感器",H155)),1,0)))</f>
        <v>105</v>
      </c>
      <c r="M155" s="12">
        <f>计价规则!$B$4+计价规则!$B$5*IF(H155="",0,LEN(H155)-LEN(SUBSTITUTE(H155,"、",""))+1)</f>
        <v>110</v>
      </c>
      <c r="N155" s="12"/>
      <c r="O155" s="12">
        <f>计价规则!$B$6</f>
        <v>100</v>
      </c>
      <c r="P155" s="12">
        <f>计价规则!$B$6</f>
        <v>100</v>
      </c>
      <c r="Q155" s="12">
        <f>计价规则!$B$6</f>
        <v>100</v>
      </c>
      <c r="R155" s="12">
        <f>计价规则!$B$7</f>
        <v>400</v>
      </c>
      <c r="S155" s="8" t="s">
        <v>26</v>
      </c>
      <c r="T155" s="13">
        <v>154</v>
      </c>
    </row>
    <row r="156" ht="26" customHeight="1" spans="1:20">
      <c r="A156" s="8">
        <f t="shared" si="2"/>
        <v>155</v>
      </c>
      <c r="B156" s="8" t="s">
        <v>289</v>
      </c>
      <c r="C156" s="9" t="s">
        <v>476</v>
      </c>
      <c r="D156" s="10" t="s">
        <v>477</v>
      </c>
      <c r="E156" s="11" t="s">
        <v>23</v>
      </c>
      <c r="F156" s="11"/>
      <c r="G156" s="10" t="s">
        <v>305</v>
      </c>
      <c r="H156" s="10" t="s">
        <v>478</v>
      </c>
      <c r="I156" s="10"/>
      <c r="J156" s="10"/>
      <c r="K156" s="10"/>
      <c r="L156" s="12">
        <f>计价规则!$B$2+计价规则!$B$3*MAX(0,IF(H156="",0,LEN(H156)-LEN(SUBSTITUTE(H156,"、",""))+1)-(IF(ISNUMBER(SEARCH("WiFi通信模块",H156)),1,0)+IF(ISNUMBER(SEARCH("ESP8266 WiFi模块",H156)),1,0)+IF(ISNUMBER(SEARCH("NRF24L01无线通信模块",H156)),1,0)+IF(ISNUMBER(SEARCH("蓝牙模块",H156)),1,0)+IF(ISNUMBER(SEARCH("语音识别模块",H156)),1,0)+IF(ISNUMBER(SEARCH("语音播报模块",H156)),1,0)+IF(ISNUMBER(SEARCH("RFID模块",H156)),1,0)+IF(ISNUMBER(SEARCH("RFID读卡模块",H156)),1,0)+IF(ISNUMBER(SEARCH("GPS定位模块",H156)),1,0)+IF(ISNUMBER(SEARCH("GSM通信模块",H156)),1,0)+IF(ISNUMBER(SEARCH("摄像头模块",H156)),1,0)+IF(ISNUMBER(SEARCH("人脸识别模块",H156)),1,0)+IF(ISNUMBER(SEARCH("手势识别传感器",H156)),1,0)))</f>
        <v>90</v>
      </c>
      <c r="M156" s="12">
        <f>计价规则!$B$4+计价规则!$B$5*IF(H156="",0,LEN(H156)-LEN(SUBSTITUTE(H156,"、",""))+1)</f>
        <v>90</v>
      </c>
      <c r="N156" s="12"/>
      <c r="O156" s="12">
        <f>计价规则!$B$6</f>
        <v>100</v>
      </c>
      <c r="P156" s="12">
        <f>计价规则!$B$6</f>
        <v>100</v>
      </c>
      <c r="Q156" s="12">
        <f>计价规则!$B$6</f>
        <v>100</v>
      </c>
      <c r="R156" s="12">
        <f>计价规则!$B$7</f>
        <v>400</v>
      </c>
      <c r="S156" s="8" t="s">
        <v>26</v>
      </c>
      <c r="T156" s="13">
        <v>155</v>
      </c>
    </row>
    <row r="157" ht="26" customHeight="1" spans="1:20">
      <c r="A157" s="8">
        <f t="shared" si="2"/>
        <v>156</v>
      </c>
      <c r="B157" s="8" t="s">
        <v>289</v>
      </c>
      <c r="C157" s="9" t="s">
        <v>479</v>
      </c>
      <c r="D157" s="10" t="s">
        <v>480</v>
      </c>
      <c r="E157" s="11" t="s">
        <v>23</v>
      </c>
      <c r="F157" s="11"/>
      <c r="G157" s="10" t="s">
        <v>47</v>
      </c>
      <c r="H157" s="10" t="s">
        <v>481</v>
      </c>
      <c r="I157" s="10"/>
      <c r="J157" s="10"/>
      <c r="K157" s="10"/>
      <c r="L157" s="12">
        <f>计价规则!$B$2+计价规则!$B$3*MAX(0,IF(H157="",0,LEN(H157)-LEN(SUBSTITUTE(H157,"、",""))+1)-(IF(ISNUMBER(SEARCH("WiFi通信模块",H157)),1,0)+IF(ISNUMBER(SEARCH("ESP8266 WiFi模块",H157)),1,0)+IF(ISNUMBER(SEARCH("NRF24L01无线通信模块",H157)),1,0)+IF(ISNUMBER(SEARCH("蓝牙模块",H157)),1,0)+IF(ISNUMBER(SEARCH("语音识别模块",H157)),1,0)+IF(ISNUMBER(SEARCH("语音播报模块",H157)),1,0)+IF(ISNUMBER(SEARCH("RFID模块",H157)),1,0)+IF(ISNUMBER(SEARCH("RFID读卡模块",H157)),1,0)+IF(ISNUMBER(SEARCH("GPS定位模块",H157)),1,0)+IF(ISNUMBER(SEARCH("GSM通信模块",H157)),1,0)+IF(ISNUMBER(SEARCH("摄像头模块",H157)),1,0)+IF(ISNUMBER(SEARCH("人脸识别模块",H157)),1,0)+IF(ISNUMBER(SEARCH("手势识别传感器",H157)),1,0)))</f>
        <v>105</v>
      </c>
      <c r="M157" s="12">
        <f>计价规则!$B$4+计价规则!$B$5*IF(H157="",0,LEN(H157)-LEN(SUBSTITUTE(H157,"、",""))+1)</f>
        <v>110</v>
      </c>
      <c r="N157" s="12"/>
      <c r="O157" s="12">
        <f>计价规则!$B$6</f>
        <v>100</v>
      </c>
      <c r="P157" s="12">
        <f>计价规则!$B$6</f>
        <v>100</v>
      </c>
      <c r="Q157" s="12">
        <f>计价规则!$B$6</f>
        <v>100</v>
      </c>
      <c r="R157" s="12">
        <f>计价规则!$B$7</f>
        <v>400</v>
      </c>
      <c r="S157" s="8" t="s">
        <v>26</v>
      </c>
      <c r="T157" s="13">
        <v>156</v>
      </c>
    </row>
    <row r="158" ht="26" customHeight="1" spans="1:20">
      <c r="A158" s="8">
        <f t="shared" si="2"/>
        <v>157</v>
      </c>
      <c r="B158" s="8" t="s">
        <v>289</v>
      </c>
      <c r="C158" s="9" t="s">
        <v>482</v>
      </c>
      <c r="D158" s="10" t="s">
        <v>483</v>
      </c>
      <c r="E158" s="11" t="s">
        <v>23</v>
      </c>
      <c r="F158" s="11"/>
      <c r="G158" s="10" t="s">
        <v>484</v>
      </c>
      <c r="H158" s="10" t="s">
        <v>485</v>
      </c>
      <c r="I158" s="10"/>
      <c r="J158" s="10"/>
      <c r="K158" s="10"/>
      <c r="L158" s="12">
        <f>计价规则!$B$2+计价规则!$B$3*MAX(0,IF(H158="",0,LEN(H158)-LEN(SUBSTITUTE(H158,"、",""))+1)-(IF(ISNUMBER(SEARCH("WiFi通信模块",H158)),1,0)+IF(ISNUMBER(SEARCH("ESP8266 WiFi模块",H158)),1,0)+IF(ISNUMBER(SEARCH("NRF24L01无线通信模块",H158)),1,0)+IF(ISNUMBER(SEARCH("蓝牙模块",H158)),1,0)+IF(ISNUMBER(SEARCH("语音识别模块",H158)),1,0)+IF(ISNUMBER(SEARCH("语音播报模块",H158)),1,0)+IF(ISNUMBER(SEARCH("RFID模块",H158)),1,0)+IF(ISNUMBER(SEARCH("RFID读卡模块",H158)),1,0)+IF(ISNUMBER(SEARCH("GPS定位模块",H158)),1,0)+IF(ISNUMBER(SEARCH("GSM通信模块",H158)),1,0)+IF(ISNUMBER(SEARCH("摄像头模块",H158)),1,0)+IF(ISNUMBER(SEARCH("人脸识别模块",H158)),1,0)+IF(ISNUMBER(SEARCH("手势识别传感器",H158)),1,0)))</f>
        <v>105</v>
      </c>
      <c r="M158" s="12">
        <f>计价规则!$B$4+计价规则!$B$5*IF(H158="",0,LEN(H158)-LEN(SUBSTITUTE(H158,"、",""))+1)</f>
        <v>110</v>
      </c>
      <c r="N158" s="12"/>
      <c r="O158" s="12">
        <f>计价规则!$B$6</f>
        <v>100</v>
      </c>
      <c r="P158" s="12">
        <f>计价规则!$B$6</f>
        <v>100</v>
      </c>
      <c r="Q158" s="12">
        <f>计价规则!$B$6</f>
        <v>100</v>
      </c>
      <c r="R158" s="12">
        <f>计价规则!$B$7</f>
        <v>400</v>
      </c>
      <c r="S158" s="8" t="s">
        <v>26</v>
      </c>
      <c r="T158" s="13">
        <v>157</v>
      </c>
    </row>
    <row r="159" ht="26" customHeight="1" spans="1:20">
      <c r="A159" s="8">
        <f t="shared" si="2"/>
        <v>158</v>
      </c>
      <c r="B159" s="8" t="s">
        <v>289</v>
      </c>
      <c r="C159" s="9" t="s">
        <v>486</v>
      </c>
      <c r="D159" s="10" t="s">
        <v>487</v>
      </c>
      <c r="E159" s="11" t="s">
        <v>23</v>
      </c>
      <c r="F159" s="11"/>
      <c r="G159" s="10" t="s">
        <v>54</v>
      </c>
      <c r="H159" s="10" t="s">
        <v>488</v>
      </c>
      <c r="I159" s="10"/>
      <c r="J159" s="10"/>
      <c r="K159" s="10"/>
      <c r="L159" s="12">
        <f>计价规则!$B$2+计价规则!$B$3*MAX(0,IF(H159="",0,LEN(H159)-LEN(SUBSTITUTE(H159,"、",""))+1)-(IF(ISNUMBER(SEARCH("WiFi通信模块",H159)),1,0)+IF(ISNUMBER(SEARCH("ESP8266 WiFi模块",H159)),1,0)+IF(ISNUMBER(SEARCH("NRF24L01无线通信模块",H159)),1,0)+IF(ISNUMBER(SEARCH("蓝牙模块",H159)),1,0)+IF(ISNUMBER(SEARCH("语音识别模块",H159)),1,0)+IF(ISNUMBER(SEARCH("语音播报模块",H159)),1,0)+IF(ISNUMBER(SEARCH("RFID模块",H159)),1,0)+IF(ISNUMBER(SEARCH("RFID读卡模块",H159)),1,0)+IF(ISNUMBER(SEARCH("GPS定位模块",H159)),1,0)+IF(ISNUMBER(SEARCH("GSM通信模块",H159)),1,0)+IF(ISNUMBER(SEARCH("摄像头模块",H159)),1,0)+IF(ISNUMBER(SEARCH("人脸识别模块",H159)),1,0)+IF(ISNUMBER(SEARCH("手势识别传感器",H159)),1,0)))</f>
        <v>105</v>
      </c>
      <c r="M159" s="12">
        <f>计价规则!$B$4+计价规则!$B$5*IF(H159="",0,LEN(H159)-LEN(SUBSTITUTE(H159,"、",""))+1)</f>
        <v>110</v>
      </c>
      <c r="N159" s="12"/>
      <c r="O159" s="12">
        <f>计价规则!$B$6</f>
        <v>100</v>
      </c>
      <c r="P159" s="12">
        <f>计价规则!$B$6</f>
        <v>100</v>
      </c>
      <c r="Q159" s="12">
        <f>计价规则!$B$6</f>
        <v>100</v>
      </c>
      <c r="R159" s="12">
        <f>计价规则!$B$7</f>
        <v>400</v>
      </c>
      <c r="S159" s="8" t="s">
        <v>26</v>
      </c>
      <c r="T159" s="13">
        <v>158</v>
      </c>
    </row>
    <row r="160" ht="26" customHeight="1" spans="1:20">
      <c r="A160" s="8">
        <f t="shared" si="2"/>
        <v>159</v>
      </c>
      <c r="B160" s="8" t="s">
        <v>289</v>
      </c>
      <c r="C160" s="9" t="s">
        <v>489</v>
      </c>
      <c r="D160" s="10" t="s">
        <v>490</v>
      </c>
      <c r="E160" s="11" t="s">
        <v>23</v>
      </c>
      <c r="F160" s="11"/>
      <c r="G160" s="10" t="s">
        <v>85</v>
      </c>
      <c r="H160" s="10" t="s">
        <v>491</v>
      </c>
      <c r="I160" s="10"/>
      <c r="J160" s="10"/>
      <c r="K160" s="10"/>
      <c r="L160" s="12">
        <f>计价规则!$B$2+计价规则!$B$3*MAX(0,IF(H160="",0,LEN(H160)-LEN(SUBSTITUTE(H160,"、",""))+1)-(IF(ISNUMBER(SEARCH("WiFi通信模块",H160)),1,0)+IF(ISNUMBER(SEARCH("ESP8266 WiFi模块",H160)),1,0)+IF(ISNUMBER(SEARCH("NRF24L01无线通信模块",H160)),1,0)+IF(ISNUMBER(SEARCH("蓝牙模块",H160)),1,0)+IF(ISNUMBER(SEARCH("语音识别模块",H160)),1,0)+IF(ISNUMBER(SEARCH("语音播报模块",H160)),1,0)+IF(ISNUMBER(SEARCH("RFID模块",H160)),1,0)+IF(ISNUMBER(SEARCH("RFID读卡模块",H160)),1,0)+IF(ISNUMBER(SEARCH("GPS定位模块",H160)),1,0)+IF(ISNUMBER(SEARCH("GSM通信模块",H160)),1,0)+IF(ISNUMBER(SEARCH("摄像头模块",H160)),1,0)+IF(ISNUMBER(SEARCH("人脸识别模块",H160)),1,0)+IF(ISNUMBER(SEARCH("手势识别传感器",H160)),1,0)))</f>
        <v>105</v>
      </c>
      <c r="M160" s="12">
        <f>计价规则!$B$4+计价规则!$B$5*IF(H160="",0,LEN(H160)-LEN(SUBSTITUTE(H160,"、",""))+1)</f>
        <v>110</v>
      </c>
      <c r="N160" s="12"/>
      <c r="O160" s="12">
        <f>计价规则!$B$6</f>
        <v>100</v>
      </c>
      <c r="P160" s="12">
        <f>计价规则!$B$6</f>
        <v>100</v>
      </c>
      <c r="Q160" s="12">
        <f>计价规则!$B$6</f>
        <v>100</v>
      </c>
      <c r="R160" s="12">
        <f>计价规则!$B$7</f>
        <v>400</v>
      </c>
      <c r="S160" s="8" t="s">
        <v>26</v>
      </c>
      <c r="T160" s="13">
        <v>159</v>
      </c>
    </row>
    <row r="161" ht="26" customHeight="1" spans="1:20">
      <c r="A161" s="8">
        <f t="shared" si="2"/>
        <v>160</v>
      </c>
      <c r="B161" s="8" t="s">
        <v>289</v>
      </c>
      <c r="C161" s="9" t="s">
        <v>492</v>
      </c>
      <c r="D161" s="10" t="s">
        <v>493</v>
      </c>
      <c r="E161" s="11" t="s">
        <v>23</v>
      </c>
      <c r="F161" s="11"/>
      <c r="G161" s="10" t="s">
        <v>24</v>
      </c>
      <c r="H161" s="10" t="s">
        <v>25</v>
      </c>
      <c r="I161" s="10"/>
      <c r="J161" s="10"/>
      <c r="K161" s="10"/>
      <c r="L161" s="12">
        <f>计价规则!$B$2+计价规则!$B$3*MAX(0,IF(H161="",0,LEN(H161)-LEN(SUBSTITUTE(H161,"、",""))+1)-(IF(ISNUMBER(SEARCH("WiFi通信模块",H161)),1,0)+IF(ISNUMBER(SEARCH("ESP8266 WiFi模块",H161)),1,0)+IF(ISNUMBER(SEARCH("NRF24L01无线通信模块",H161)),1,0)+IF(ISNUMBER(SEARCH("蓝牙模块",H161)),1,0)+IF(ISNUMBER(SEARCH("语音识别模块",H161)),1,0)+IF(ISNUMBER(SEARCH("语音播报模块",H161)),1,0)+IF(ISNUMBER(SEARCH("RFID模块",H161)),1,0)+IF(ISNUMBER(SEARCH("RFID读卡模块",H161)),1,0)+IF(ISNUMBER(SEARCH("GPS定位模块",H161)),1,0)+IF(ISNUMBER(SEARCH("GSM通信模块",H161)),1,0)+IF(ISNUMBER(SEARCH("摄像头模块",H161)),1,0)+IF(ISNUMBER(SEARCH("人脸识别模块",H161)),1,0)+IF(ISNUMBER(SEARCH("手势识别传感器",H161)),1,0)))</f>
        <v>90</v>
      </c>
      <c r="M161" s="12">
        <f>计价规则!$B$4+计价规则!$B$5*IF(H161="",0,LEN(H161)-LEN(SUBSTITUTE(H161,"、",""))+1)</f>
        <v>90</v>
      </c>
      <c r="N161" s="12"/>
      <c r="O161" s="12">
        <f>计价规则!$B$6</f>
        <v>100</v>
      </c>
      <c r="P161" s="12">
        <f>计价规则!$B$6</f>
        <v>100</v>
      </c>
      <c r="Q161" s="12">
        <f>计价规则!$B$6</f>
        <v>100</v>
      </c>
      <c r="R161" s="12">
        <f>计价规则!$B$7</f>
        <v>400</v>
      </c>
      <c r="S161" s="8" t="s">
        <v>26</v>
      </c>
      <c r="T161" s="13">
        <v>160</v>
      </c>
    </row>
    <row r="162" ht="26" customHeight="1" spans="1:20">
      <c r="A162" s="8">
        <f t="shared" si="2"/>
        <v>161</v>
      </c>
      <c r="B162" s="8" t="s">
        <v>289</v>
      </c>
      <c r="C162" s="9" t="s">
        <v>494</v>
      </c>
      <c r="D162" s="10" t="s">
        <v>495</v>
      </c>
      <c r="E162" s="11" t="s">
        <v>23</v>
      </c>
      <c r="F162" s="11"/>
      <c r="G162" s="10" t="s">
        <v>305</v>
      </c>
      <c r="H162" s="10" t="s">
        <v>308</v>
      </c>
      <c r="I162" s="10"/>
      <c r="J162" s="10"/>
      <c r="K162" s="10"/>
      <c r="L162" s="12">
        <f>计价规则!$B$2+计价规则!$B$3*MAX(0,IF(H162="",0,LEN(H162)-LEN(SUBSTITUTE(H162,"、",""))+1)-(IF(ISNUMBER(SEARCH("WiFi通信模块",H162)),1,0)+IF(ISNUMBER(SEARCH("ESP8266 WiFi模块",H162)),1,0)+IF(ISNUMBER(SEARCH("NRF24L01无线通信模块",H162)),1,0)+IF(ISNUMBER(SEARCH("蓝牙模块",H162)),1,0)+IF(ISNUMBER(SEARCH("语音识别模块",H162)),1,0)+IF(ISNUMBER(SEARCH("语音播报模块",H162)),1,0)+IF(ISNUMBER(SEARCH("RFID模块",H162)),1,0)+IF(ISNUMBER(SEARCH("RFID读卡模块",H162)),1,0)+IF(ISNUMBER(SEARCH("GPS定位模块",H162)),1,0)+IF(ISNUMBER(SEARCH("GSM通信模块",H162)),1,0)+IF(ISNUMBER(SEARCH("摄像头模块",H162)),1,0)+IF(ISNUMBER(SEARCH("人脸识别模块",H162)),1,0)+IF(ISNUMBER(SEARCH("手势识别传感器",H162)),1,0)))</f>
        <v>90</v>
      </c>
      <c r="M162" s="12">
        <f>计价规则!$B$4+计价规则!$B$5*IF(H162="",0,LEN(H162)-LEN(SUBSTITUTE(H162,"、",""))+1)</f>
        <v>90</v>
      </c>
      <c r="N162" s="12"/>
      <c r="O162" s="12">
        <f>计价规则!$B$6</f>
        <v>100</v>
      </c>
      <c r="P162" s="12">
        <f>计价规则!$B$6</f>
        <v>100</v>
      </c>
      <c r="Q162" s="12">
        <f>计价规则!$B$6</f>
        <v>100</v>
      </c>
      <c r="R162" s="12">
        <f>计价规则!$B$7</f>
        <v>400</v>
      </c>
      <c r="S162" s="8" t="s">
        <v>26</v>
      </c>
      <c r="T162" s="13">
        <v>161</v>
      </c>
    </row>
    <row r="163" ht="26" customHeight="1" spans="1:20">
      <c r="A163" s="8">
        <f t="shared" si="2"/>
        <v>162</v>
      </c>
      <c r="B163" s="8" t="s">
        <v>289</v>
      </c>
      <c r="C163" s="9" t="s">
        <v>496</v>
      </c>
      <c r="D163" s="10" t="s">
        <v>497</v>
      </c>
      <c r="E163" s="11" t="s">
        <v>23</v>
      </c>
      <c r="F163" s="11"/>
      <c r="G163" s="10" t="s">
        <v>498</v>
      </c>
      <c r="H163" s="10" t="s">
        <v>499</v>
      </c>
      <c r="I163" s="10"/>
      <c r="J163" s="10"/>
      <c r="K163" s="10"/>
      <c r="L163" s="12">
        <f>计价规则!$B$2+计价规则!$B$3*MAX(0,IF(H163="",0,LEN(H163)-LEN(SUBSTITUTE(H163,"、",""))+1)-(IF(ISNUMBER(SEARCH("WiFi通信模块",H163)),1,0)+IF(ISNUMBER(SEARCH("ESP8266 WiFi模块",H163)),1,0)+IF(ISNUMBER(SEARCH("NRF24L01无线通信模块",H163)),1,0)+IF(ISNUMBER(SEARCH("蓝牙模块",H163)),1,0)+IF(ISNUMBER(SEARCH("语音识别模块",H163)),1,0)+IF(ISNUMBER(SEARCH("语音播报模块",H163)),1,0)+IF(ISNUMBER(SEARCH("RFID模块",H163)),1,0)+IF(ISNUMBER(SEARCH("RFID读卡模块",H163)),1,0)+IF(ISNUMBER(SEARCH("GPS定位模块",H163)),1,0)+IF(ISNUMBER(SEARCH("GSM通信模块",H163)),1,0)+IF(ISNUMBER(SEARCH("摄像头模块",H163)),1,0)+IF(ISNUMBER(SEARCH("人脸识别模块",H163)),1,0)+IF(ISNUMBER(SEARCH("手势识别传感器",H163)),1,0)))</f>
        <v>105</v>
      </c>
      <c r="M163" s="12">
        <f>计价规则!$B$4+计价规则!$B$5*IF(H163="",0,LEN(H163)-LEN(SUBSTITUTE(H163,"、",""))+1)</f>
        <v>110</v>
      </c>
      <c r="N163" s="12"/>
      <c r="O163" s="12">
        <f>计价规则!$B$6</f>
        <v>100</v>
      </c>
      <c r="P163" s="12">
        <f>计价规则!$B$6</f>
        <v>100</v>
      </c>
      <c r="Q163" s="12">
        <f>计价规则!$B$6</f>
        <v>100</v>
      </c>
      <c r="R163" s="12">
        <f>计价规则!$B$7</f>
        <v>400</v>
      </c>
      <c r="S163" s="8" t="s">
        <v>26</v>
      </c>
      <c r="T163" s="13">
        <v>162</v>
      </c>
    </row>
    <row r="164" ht="26" customHeight="1" spans="1:20">
      <c r="A164" s="8">
        <f t="shared" si="2"/>
        <v>163</v>
      </c>
      <c r="B164" s="8" t="s">
        <v>289</v>
      </c>
      <c r="C164" s="9" t="s">
        <v>500</v>
      </c>
      <c r="D164" s="10" t="s">
        <v>501</v>
      </c>
      <c r="E164" s="11" t="s">
        <v>23</v>
      </c>
      <c r="F164" s="11"/>
      <c r="G164" s="10" t="s">
        <v>24</v>
      </c>
      <c r="H164" s="10" t="s">
        <v>360</v>
      </c>
      <c r="I164" s="10"/>
      <c r="J164" s="10"/>
      <c r="K164" s="10"/>
      <c r="L164" s="12">
        <f>计价规则!$B$2+计价规则!$B$3*MAX(0,IF(H164="",0,LEN(H164)-LEN(SUBSTITUTE(H164,"、",""))+1)-(IF(ISNUMBER(SEARCH("WiFi通信模块",H164)),1,0)+IF(ISNUMBER(SEARCH("ESP8266 WiFi模块",H164)),1,0)+IF(ISNUMBER(SEARCH("NRF24L01无线通信模块",H164)),1,0)+IF(ISNUMBER(SEARCH("蓝牙模块",H164)),1,0)+IF(ISNUMBER(SEARCH("语音识别模块",H164)),1,0)+IF(ISNUMBER(SEARCH("语音播报模块",H164)),1,0)+IF(ISNUMBER(SEARCH("RFID模块",H164)),1,0)+IF(ISNUMBER(SEARCH("RFID读卡模块",H164)),1,0)+IF(ISNUMBER(SEARCH("GPS定位模块",H164)),1,0)+IF(ISNUMBER(SEARCH("GSM通信模块",H164)),1,0)+IF(ISNUMBER(SEARCH("摄像头模块",H164)),1,0)+IF(ISNUMBER(SEARCH("人脸识别模块",H164)),1,0)+IF(ISNUMBER(SEARCH("手势识别传感器",H164)),1,0)))</f>
        <v>75</v>
      </c>
      <c r="M164" s="12">
        <f>计价规则!$B$4+计价规则!$B$5*IF(H164="",0,LEN(H164)-LEN(SUBSTITUTE(H164,"、",""))+1)</f>
        <v>70</v>
      </c>
      <c r="N164" s="12"/>
      <c r="O164" s="12">
        <f>计价规则!$B$6</f>
        <v>100</v>
      </c>
      <c r="P164" s="12">
        <f>计价规则!$B$6</f>
        <v>100</v>
      </c>
      <c r="Q164" s="12">
        <f>计价规则!$B$6</f>
        <v>100</v>
      </c>
      <c r="R164" s="12">
        <f>计价规则!$B$7</f>
        <v>400</v>
      </c>
      <c r="S164" s="8" t="s">
        <v>26</v>
      </c>
      <c r="T164" s="13">
        <v>163</v>
      </c>
    </row>
    <row r="165" ht="26" customHeight="1" spans="1:20">
      <c r="A165" s="8">
        <f t="shared" si="2"/>
        <v>164</v>
      </c>
      <c r="B165" s="8" t="s">
        <v>289</v>
      </c>
      <c r="C165" s="9" t="s">
        <v>502</v>
      </c>
      <c r="D165" s="10" t="s">
        <v>503</v>
      </c>
      <c r="E165" s="11" t="s">
        <v>23</v>
      </c>
      <c r="F165" s="11"/>
      <c r="G165" s="10" t="s">
        <v>24</v>
      </c>
      <c r="H165" s="10" t="s">
        <v>436</v>
      </c>
      <c r="I165" s="10"/>
      <c r="J165" s="10"/>
      <c r="K165" s="10"/>
      <c r="L165" s="12">
        <f>计价规则!$B$2+计价规则!$B$3*MAX(0,IF(H165="",0,LEN(H165)-LEN(SUBSTITUTE(H165,"、",""))+1)-(IF(ISNUMBER(SEARCH("WiFi通信模块",H165)),1,0)+IF(ISNUMBER(SEARCH("ESP8266 WiFi模块",H165)),1,0)+IF(ISNUMBER(SEARCH("NRF24L01无线通信模块",H165)),1,0)+IF(ISNUMBER(SEARCH("蓝牙模块",H165)),1,0)+IF(ISNUMBER(SEARCH("语音识别模块",H165)),1,0)+IF(ISNUMBER(SEARCH("语音播报模块",H165)),1,0)+IF(ISNUMBER(SEARCH("RFID模块",H165)),1,0)+IF(ISNUMBER(SEARCH("RFID读卡模块",H165)),1,0)+IF(ISNUMBER(SEARCH("GPS定位模块",H165)),1,0)+IF(ISNUMBER(SEARCH("GSM通信模块",H165)),1,0)+IF(ISNUMBER(SEARCH("摄像头模块",H165)),1,0)+IF(ISNUMBER(SEARCH("人脸识别模块",H165)),1,0)+IF(ISNUMBER(SEARCH("手势识别传感器",H165)),1,0)))</f>
        <v>105</v>
      </c>
      <c r="M165" s="12">
        <f>计价规则!$B$4+计价规则!$B$5*IF(H165="",0,LEN(H165)-LEN(SUBSTITUTE(H165,"、",""))+1)</f>
        <v>110</v>
      </c>
      <c r="N165" s="12"/>
      <c r="O165" s="12">
        <f>计价规则!$B$6</f>
        <v>100</v>
      </c>
      <c r="P165" s="12">
        <f>计价规则!$B$6</f>
        <v>100</v>
      </c>
      <c r="Q165" s="12">
        <f>计价规则!$B$6</f>
        <v>100</v>
      </c>
      <c r="R165" s="12">
        <f>计价规则!$B$7</f>
        <v>400</v>
      </c>
      <c r="S165" s="8" t="s">
        <v>26</v>
      </c>
      <c r="T165" s="13">
        <v>164</v>
      </c>
    </row>
    <row r="166" ht="26" customHeight="1" spans="1:20">
      <c r="A166" s="8">
        <f t="shared" si="2"/>
        <v>165</v>
      </c>
      <c r="B166" s="8" t="s">
        <v>289</v>
      </c>
      <c r="C166" s="9" t="s">
        <v>504</v>
      </c>
      <c r="D166" s="10" t="s">
        <v>505</v>
      </c>
      <c r="E166" s="11" t="s">
        <v>23</v>
      </c>
      <c r="F166" s="11"/>
      <c r="G166" s="10" t="s">
        <v>24</v>
      </c>
      <c r="H166" s="10" t="s">
        <v>198</v>
      </c>
      <c r="I166" s="10"/>
      <c r="J166" s="10"/>
      <c r="K166" s="10"/>
      <c r="L166" s="12">
        <f>计价规则!$B$2+计价规则!$B$3*MAX(0,IF(H166="",0,LEN(H166)-LEN(SUBSTITUTE(H166,"、",""))+1)-(IF(ISNUMBER(SEARCH("WiFi通信模块",H166)),1,0)+IF(ISNUMBER(SEARCH("ESP8266 WiFi模块",H166)),1,0)+IF(ISNUMBER(SEARCH("NRF24L01无线通信模块",H166)),1,0)+IF(ISNUMBER(SEARCH("蓝牙模块",H166)),1,0)+IF(ISNUMBER(SEARCH("语音识别模块",H166)),1,0)+IF(ISNUMBER(SEARCH("语音播报模块",H166)),1,0)+IF(ISNUMBER(SEARCH("RFID模块",H166)),1,0)+IF(ISNUMBER(SEARCH("RFID读卡模块",H166)),1,0)+IF(ISNUMBER(SEARCH("GPS定位模块",H166)),1,0)+IF(ISNUMBER(SEARCH("GSM通信模块",H166)),1,0)+IF(ISNUMBER(SEARCH("摄像头模块",H166)),1,0)+IF(ISNUMBER(SEARCH("人脸识别模块",H166)),1,0)+IF(ISNUMBER(SEARCH("手势识别传感器",H166)),1,0)))</f>
        <v>90</v>
      </c>
      <c r="M166" s="12">
        <f>计价规则!$B$4+计价规则!$B$5*IF(H166="",0,LEN(H166)-LEN(SUBSTITUTE(H166,"、",""))+1)</f>
        <v>90</v>
      </c>
      <c r="N166" s="12"/>
      <c r="O166" s="12">
        <f>计价规则!$B$6</f>
        <v>100</v>
      </c>
      <c r="P166" s="12">
        <f>计价规则!$B$6</f>
        <v>100</v>
      </c>
      <c r="Q166" s="12">
        <f>计价规则!$B$6</f>
        <v>100</v>
      </c>
      <c r="R166" s="12">
        <f>计价规则!$B$7</f>
        <v>400</v>
      </c>
      <c r="S166" s="8" t="s">
        <v>26</v>
      </c>
      <c r="T166" s="13">
        <v>165</v>
      </c>
    </row>
    <row r="167" ht="26" customHeight="1" spans="1:20">
      <c r="A167" s="8">
        <f t="shared" si="2"/>
        <v>166</v>
      </c>
      <c r="B167" s="8" t="s">
        <v>289</v>
      </c>
      <c r="C167" s="9" t="s">
        <v>506</v>
      </c>
      <c r="D167" s="10" t="s">
        <v>507</v>
      </c>
      <c r="E167" s="11" t="s">
        <v>23</v>
      </c>
      <c r="F167" s="11"/>
      <c r="G167" s="10" t="s">
        <v>24</v>
      </c>
      <c r="H167" s="10" t="s">
        <v>363</v>
      </c>
      <c r="I167" s="10"/>
      <c r="J167" s="10"/>
      <c r="K167" s="10"/>
      <c r="L167" s="12">
        <f>计价规则!$B$2+计价规则!$B$3*MAX(0,IF(H167="",0,LEN(H167)-LEN(SUBSTITUTE(H167,"、",""))+1)-(IF(ISNUMBER(SEARCH("WiFi通信模块",H167)),1,0)+IF(ISNUMBER(SEARCH("ESP8266 WiFi模块",H167)),1,0)+IF(ISNUMBER(SEARCH("NRF24L01无线通信模块",H167)),1,0)+IF(ISNUMBER(SEARCH("蓝牙模块",H167)),1,0)+IF(ISNUMBER(SEARCH("语音识别模块",H167)),1,0)+IF(ISNUMBER(SEARCH("语音播报模块",H167)),1,0)+IF(ISNUMBER(SEARCH("RFID模块",H167)),1,0)+IF(ISNUMBER(SEARCH("RFID读卡模块",H167)),1,0)+IF(ISNUMBER(SEARCH("GPS定位模块",H167)),1,0)+IF(ISNUMBER(SEARCH("GSM通信模块",H167)),1,0)+IF(ISNUMBER(SEARCH("摄像头模块",H167)),1,0)+IF(ISNUMBER(SEARCH("人脸识别模块",H167)),1,0)+IF(ISNUMBER(SEARCH("手势识别传感器",H167)),1,0)))</f>
        <v>90</v>
      </c>
      <c r="M167" s="12">
        <f>计价规则!$B$4+计价规则!$B$5*IF(H167="",0,LEN(H167)-LEN(SUBSTITUTE(H167,"、",""))+1)</f>
        <v>90</v>
      </c>
      <c r="N167" s="12"/>
      <c r="O167" s="12">
        <f>计价规则!$B$6</f>
        <v>100</v>
      </c>
      <c r="P167" s="12">
        <f>计价规则!$B$6</f>
        <v>100</v>
      </c>
      <c r="Q167" s="12">
        <f>计价规则!$B$6</f>
        <v>100</v>
      </c>
      <c r="R167" s="12">
        <f>计价规则!$B$7</f>
        <v>400</v>
      </c>
      <c r="S167" s="8" t="s">
        <v>26</v>
      </c>
      <c r="T167" s="13">
        <v>166</v>
      </c>
    </row>
    <row r="168" ht="26" customHeight="1" spans="1:20">
      <c r="A168" s="8">
        <f t="shared" si="2"/>
        <v>167</v>
      </c>
      <c r="B168" s="8" t="s">
        <v>289</v>
      </c>
      <c r="C168" s="9" t="s">
        <v>508</v>
      </c>
      <c r="D168" s="10" t="s">
        <v>509</v>
      </c>
      <c r="E168" s="11" t="s">
        <v>23</v>
      </c>
      <c r="F168" s="11"/>
      <c r="G168" s="10" t="s">
        <v>24</v>
      </c>
      <c r="H168" s="10" t="s">
        <v>510</v>
      </c>
      <c r="I168" s="10"/>
      <c r="J168" s="10"/>
      <c r="K168" s="10"/>
      <c r="L168" s="12">
        <f>计价规则!$B$2+计价规则!$B$3*MAX(0,IF(H168="",0,LEN(H168)-LEN(SUBSTITUTE(H168,"、",""))+1)-(IF(ISNUMBER(SEARCH("WiFi通信模块",H168)),1,0)+IF(ISNUMBER(SEARCH("ESP8266 WiFi模块",H168)),1,0)+IF(ISNUMBER(SEARCH("NRF24L01无线通信模块",H168)),1,0)+IF(ISNUMBER(SEARCH("蓝牙模块",H168)),1,0)+IF(ISNUMBER(SEARCH("语音识别模块",H168)),1,0)+IF(ISNUMBER(SEARCH("语音播报模块",H168)),1,0)+IF(ISNUMBER(SEARCH("RFID模块",H168)),1,0)+IF(ISNUMBER(SEARCH("RFID读卡模块",H168)),1,0)+IF(ISNUMBER(SEARCH("GPS定位模块",H168)),1,0)+IF(ISNUMBER(SEARCH("GSM通信模块",H168)),1,0)+IF(ISNUMBER(SEARCH("摄像头模块",H168)),1,0)+IF(ISNUMBER(SEARCH("人脸识别模块",H168)),1,0)+IF(ISNUMBER(SEARCH("手势识别传感器",H168)),1,0)))</f>
        <v>90</v>
      </c>
      <c r="M168" s="12">
        <f>计价规则!$B$4+计价规则!$B$5*IF(H168="",0,LEN(H168)-LEN(SUBSTITUTE(H168,"、",""))+1)</f>
        <v>90</v>
      </c>
      <c r="N168" s="12"/>
      <c r="O168" s="12">
        <f>计价规则!$B$6</f>
        <v>100</v>
      </c>
      <c r="P168" s="12">
        <f>计价规则!$B$6</f>
        <v>100</v>
      </c>
      <c r="Q168" s="12">
        <f>计价规则!$B$6</f>
        <v>100</v>
      </c>
      <c r="R168" s="12">
        <f>计价规则!$B$7</f>
        <v>400</v>
      </c>
      <c r="S168" s="8" t="s">
        <v>26</v>
      </c>
      <c r="T168" s="13">
        <v>167</v>
      </c>
    </row>
    <row r="169" ht="26" customHeight="1" spans="1:20">
      <c r="A169" s="8">
        <f t="shared" si="2"/>
        <v>168</v>
      </c>
      <c r="B169" s="8" t="s">
        <v>289</v>
      </c>
      <c r="C169" s="9" t="s">
        <v>511</v>
      </c>
      <c r="D169" s="10" t="s">
        <v>512</v>
      </c>
      <c r="E169" s="11" t="s">
        <v>23</v>
      </c>
      <c r="F169" s="11"/>
      <c r="G169" s="10" t="s">
        <v>498</v>
      </c>
      <c r="H169" s="10" t="s">
        <v>513</v>
      </c>
      <c r="I169" s="10"/>
      <c r="J169" s="10"/>
      <c r="K169" s="10"/>
      <c r="L169" s="12">
        <f>计价规则!$B$2+计价规则!$B$3*MAX(0,IF(H169="",0,LEN(H169)-LEN(SUBSTITUTE(H169,"、",""))+1)-(IF(ISNUMBER(SEARCH("WiFi通信模块",H169)),1,0)+IF(ISNUMBER(SEARCH("ESP8266 WiFi模块",H169)),1,0)+IF(ISNUMBER(SEARCH("NRF24L01无线通信模块",H169)),1,0)+IF(ISNUMBER(SEARCH("蓝牙模块",H169)),1,0)+IF(ISNUMBER(SEARCH("语音识别模块",H169)),1,0)+IF(ISNUMBER(SEARCH("语音播报模块",H169)),1,0)+IF(ISNUMBER(SEARCH("RFID模块",H169)),1,0)+IF(ISNUMBER(SEARCH("RFID读卡模块",H169)),1,0)+IF(ISNUMBER(SEARCH("GPS定位模块",H169)),1,0)+IF(ISNUMBER(SEARCH("GSM通信模块",H169)),1,0)+IF(ISNUMBER(SEARCH("摄像头模块",H169)),1,0)+IF(ISNUMBER(SEARCH("人脸识别模块",H169)),1,0)+IF(ISNUMBER(SEARCH("手势识别传感器",H169)),1,0)))</f>
        <v>105</v>
      </c>
      <c r="M169" s="12">
        <f>计价规则!$B$4+计价规则!$B$5*IF(H169="",0,LEN(H169)-LEN(SUBSTITUTE(H169,"、",""))+1)</f>
        <v>110</v>
      </c>
      <c r="N169" s="12"/>
      <c r="O169" s="12">
        <f>计价规则!$B$6</f>
        <v>100</v>
      </c>
      <c r="P169" s="12">
        <f>计价规则!$B$6</f>
        <v>100</v>
      </c>
      <c r="Q169" s="12">
        <f>计价规则!$B$6</f>
        <v>100</v>
      </c>
      <c r="R169" s="12">
        <f>计价规则!$B$7</f>
        <v>400</v>
      </c>
      <c r="S169" s="8" t="s">
        <v>26</v>
      </c>
      <c r="T169" s="13">
        <v>168</v>
      </c>
    </row>
    <row r="170" ht="26" customHeight="1" spans="1:20">
      <c r="A170" s="8">
        <f t="shared" si="2"/>
        <v>169</v>
      </c>
      <c r="B170" s="8" t="s">
        <v>289</v>
      </c>
      <c r="C170" s="9" t="s">
        <v>514</v>
      </c>
      <c r="D170" s="10" t="s">
        <v>515</v>
      </c>
      <c r="E170" s="11" t="s">
        <v>23</v>
      </c>
      <c r="F170" s="11"/>
      <c r="G170" s="10" t="s">
        <v>24</v>
      </c>
      <c r="H170" s="10" t="s">
        <v>516</v>
      </c>
      <c r="I170" s="10"/>
      <c r="J170" s="10"/>
      <c r="K170" s="10"/>
      <c r="L170" s="12">
        <f>计价规则!$B$2+计价规则!$B$3*MAX(0,IF(H170="",0,LEN(H170)-LEN(SUBSTITUTE(H170,"、",""))+1)-(IF(ISNUMBER(SEARCH("WiFi通信模块",H170)),1,0)+IF(ISNUMBER(SEARCH("ESP8266 WiFi模块",H170)),1,0)+IF(ISNUMBER(SEARCH("NRF24L01无线通信模块",H170)),1,0)+IF(ISNUMBER(SEARCH("蓝牙模块",H170)),1,0)+IF(ISNUMBER(SEARCH("语音识别模块",H170)),1,0)+IF(ISNUMBER(SEARCH("语音播报模块",H170)),1,0)+IF(ISNUMBER(SEARCH("RFID模块",H170)),1,0)+IF(ISNUMBER(SEARCH("RFID读卡模块",H170)),1,0)+IF(ISNUMBER(SEARCH("GPS定位模块",H170)),1,0)+IF(ISNUMBER(SEARCH("GSM通信模块",H170)),1,0)+IF(ISNUMBER(SEARCH("摄像头模块",H170)),1,0)+IF(ISNUMBER(SEARCH("人脸识别模块",H170)),1,0)+IF(ISNUMBER(SEARCH("手势识别传感器",H170)),1,0)))</f>
        <v>105</v>
      </c>
      <c r="M170" s="12">
        <f>计价规则!$B$4+计价规则!$B$5*IF(H170="",0,LEN(H170)-LEN(SUBSTITUTE(H170,"、",""))+1)</f>
        <v>110</v>
      </c>
      <c r="N170" s="12"/>
      <c r="O170" s="12">
        <f>计价规则!$B$6</f>
        <v>100</v>
      </c>
      <c r="P170" s="12">
        <f>计价规则!$B$6</f>
        <v>100</v>
      </c>
      <c r="Q170" s="12">
        <f>计价规则!$B$6</f>
        <v>100</v>
      </c>
      <c r="R170" s="12">
        <f>计价规则!$B$7</f>
        <v>400</v>
      </c>
      <c r="S170" s="8" t="s">
        <v>26</v>
      </c>
      <c r="T170" s="13">
        <v>169</v>
      </c>
    </row>
    <row r="171" ht="26" customHeight="1" spans="1:20">
      <c r="A171" s="8">
        <f t="shared" si="2"/>
        <v>170</v>
      </c>
      <c r="B171" s="8" t="s">
        <v>289</v>
      </c>
      <c r="C171" s="9" t="s">
        <v>517</v>
      </c>
      <c r="D171" s="10" t="s">
        <v>518</v>
      </c>
      <c r="E171" s="11" t="s">
        <v>23</v>
      </c>
      <c r="F171" s="11"/>
      <c r="G171" s="10" t="s">
        <v>519</v>
      </c>
      <c r="H171" s="10" t="s">
        <v>25</v>
      </c>
      <c r="I171" s="10"/>
      <c r="J171" s="10"/>
      <c r="K171" s="10"/>
      <c r="L171" s="12">
        <f>计价规则!$B$2+计价规则!$B$3*MAX(0,IF(H171="",0,LEN(H171)-LEN(SUBSTITUTE(H171,"、",""))+1)-(IF(ISNUMBER(SEARCH("WiFi通信模块",H171)),1,0)+IF(ISNUMBER(SEARCH("ESP8266 WiFi模块",H171)),1,0)+IF(ISNUMBER(SEARCH("NRF24L01无线通信模块",H171)),1,0)+IF(ISNUMBER(SEARCH("蓝牙模块",H171)),1,0)+IF(ISNUMBER(SEARCH("语音识别模块",H171)),1,0)+IF(ISNUMBER(SEARCH("语音播报模块",H171)),1,0)+IF(ISNUMBER(SEARCH("RFID模块",H171)),1,0)+IF(ISNUMBER(SEARCH("RFID读卡模块",H171)),1,0)+IF(ISNUMBER(SEARCH("GPS定位模块",H171)),1,0)+IF(ISNUMBER(SEARCH("GSM通信模块",H171)),1,0)+IF(ISNUMBER(SEARCH("摄像头模块",H171)),1,0)+IF(ISNUMBER(SEARCH("人脸识别模块",H171)),1,0)+IF(ISNUMBER(SEARCH("手势识别传感器",H171)),1,0)))</f>
        <v>90</v>
      </c>
      <c r="M171" s="12">
        <f>计价规则!$B$4+计价规则!$B$5*IF(H171="",0,LEN(H171)-LEN(SUBSTITUTE(H171,"、",""))+1)</f>
        <v>90</v>
      </c>
      <c r="N171" s="12"/>
      <c r="O171" s="12">
        <f>计价规则!$B$6</f>
        <v>100</v>
      </c>
      <c r="P171" s="12">
        <f>计价规则!$B$6</f>
        <v>100</v>
      </c>
      <c r="Q171" s="12">
        <f>计价规则!$B$6</f>
        <v>100</v>
      </c>
      <c r="R171" s="12">
        <f>计价规则!$B$7</f>
        <v>400</v>
      </c>
      <c r="S171" s="8" t="s">
        <v>26</v>
      </c>
      <c r="T171" s="13">
        <v>170</v>
      </c>
    </row>
    <row r="172" ht="26" customHeight="1" spans="1:20">
      <c r="A172" s="8">
        <f t="shared" si="2"/>
        <v>171</v>
      </c>
      <c r="B172" s="8" t="s">
        <v>289</v>
      </c>
      <c r="C172" s="9" t="s">
        <v>520</v>
      </c>
      <c r="D172" s="10" t="s">
        <v>521</v>
      </c>
      <c r="E172" s="11" t="s">
        <v>23</v>
      </c>
      <c r="F172" s="11"/>
      <c r="G172" s="10" t="s">
        <v>24</v>
      </c>
      <c r="H172" s="10" t="s">
        <v>66</v>
      </c>
      <c r="I172" s="10"/>
      <c r="J172" s="10"/>
      <c r="K172" s="10"/>
      <c r="L172" s="12">
        <f>计价规则!$B$2+计价规则!$B$3*MAX(0,IF(H172="",0,LEN(H172)-LEN(SUBSTITUTE(H172,"、",""))+1)-(IF(ISNUMBER(SEARCH("WiFi通信模块",H172)),1,0)+IF(ISNUMBER(SEARCH("ESP8266 WiFi模块",H172)),1,0)+IF(ISNUMBER(SEARCH("NRF24L01无线通信模块",H172)),1,0)+IF(ISNUMBER(SEARCH("蓝牙模块",H172)),1,0)+IF(ISNUMBER(SEARCH("语音识别模块",H172)),1,0)+IF(ISNUMBER(SEARCH("语音播报模块",H172)),1,0)+IF(ISNUMBER(SEARCH("RFID模块",H172)),1,0)+IF(ISNUMBER(SEARCH("RFID读卡模块",H172)),1,0)+IF(ISNUMBER(SEARCH("GPS定位模块",H172)),1,0)+IF(ISNUMBER(SEARCH("GSM通信模块",H172)),1,0)+IF(ISNUMBER(SEARCH("摄像头模块",H172)),1,0)+IF(ISNUMBER(SEARCH("人脸识别模块",H172)),1,0)+IF(ISNUMBER(SEARCH("手势识别传感器",H172)),1,0)))</f>
        <v>90</v>
      </c>
      <c r="M172" s="12">
        <f>计价规则!$B$4+计价规则!$B$5*IF(H172="",0,LEN(H172)-LEN(SUBSTITUTE(H172,"、",""))+1)</f>
        <v>90</v>
      </c>
      <c r="N172" s="12"/>
      <c r="O172" s="12">
        <f>计价规则!$B$6</f>
        <v>100</v>
      </c>
      <c r="P172" s="12">
        <f>计价规则!$B$6</f>
        <v>100</v>
      </c>
      <c r="Q172" s="12">
        <f>计价规则!$B$6</f>
        <v>100</v>
      </c>
      <c r="R172" s="12">
        <f>计价规则!$B$7</f>
        <v>400</v>
      </c>
      <c r="S172" s="8" t="s">
        <v>26</v>
      </c>
      <c r="T172" s="13">
        <v>171</v>
      </c>
    </row>
    <row r="173" ht="26" customHeight="1" spans="1:20">
      <c r="A173" s="8">
        <f t="shared" si="2"/>
        <v>172</v>
      </c>
      <c r="B173" s="8" t="s">
        <v>289</v>
      </c>
      <c r="C173" s="9" t="s">
        <v>522</v>
      </c>
      <c r="D173" s="10" t="s">
        <v>523</v>
      </c>
      <c r="E173" s="11" t="s">
        <v>23</v>
      </c>
      <c r="F173" s="11"/>
      <c r="G173" s="10" t="s">
        <v>305</v>
      </c>
      <c r="H173" s="10" t="s">
        <v>524</v>
      </c>
      <c r="I173" s="10"/>
      <c r="J173" s="10"/>
      <c r="K173" s="10"/>
      <c r="L173" s="12">
        <f>计价规则!$B$2+计价规则!$B$3*MAX(0,IF(H173="",0,LEN(H173)-LEN(SUBSTITUTE(H173,"、",""))+1)-(IF(ISNUMBER(SEARCH("WiFi通信模块",H173)),1,0)+IF(ISNUMBER(SEARCH("ESP8266 WiFi模块",H173)),1,0)+IF(ISNUMBER(SEARCH("NRF24L01无线通信模块",H173)),1,0)+IF(ISNUMBER(SEARCH("蓝牙模块",H173)),1,0)+IF(ISNUMBER(SEARCH("语音识别模块",H173)),1,0)+IF(ISNUMBER(SEARCH("语音播报模块",H173)),1,0)+IF(ISNUMBER(SEARCH("RFID模块",H173)),1,0)+IF(ISNUMBER(SEARCH("RFID读卡模块",H173)),1,0)+IF(ISNUMBER(SEARCH("GPS定位模块",H173)),1,0)+IF(ISNUMBER(SEARCH("GSM通信模块",H173)),1,0)+IF(ISNUMBER(SEARCH("摄像头模块",H173)),1,0)+IF(ISNUMBER(SEARCH("人脸识别模块",H173)),1,0)+IF(ISNUMBER(SEARCH("手势识别传感器",H173)),1,0)))</f>
        <v>105</v>
      </c>
      <c r="M173" s="12">
        <f>计价规则!$B$4+计价规则!$B$5*IF(H173="",0,LEN(H173)-LEN(SUBSTITUTE(H173,"、",""))+1)</f>
        <v>110</v>
      </c>
      <c r="N173" s="12"/>
      <c r="O173" s="12">
        <f>计价规则!$B$6</f>
        <v>100</v>
      </c>
      <c r="P173" s="12">
        <f>计价规则!$B$6</f>
        <v>100</v>
      </c>
      <c r="Q173" s="12">
        <f>计价规则!$B$6</f>
        <v>100</v>
      </c>
      <c r="R173" s="12">
        <f>计价规则!$B$7</f>
        <v>400</v>
      </c>
      <c r="S173" s="8" t="s">
        <v>26</v>
      </c>
      <c r="T173" s="13">
        <v>172</v>
      </c>
    </row>
    <row r="174" ht="26" customHeight="1" spans="1:20">
      <c r="A174" s="8">
        <f t="shared" si="2"/>
        <v>173</v>
      </c>
      <c r="B174" s="8" t="s">
        <v>289</v>
      </c>
      <c r="C174" s="9" t="s">
        <v>525</v>
      </c>
      <c r="D174" s="10" t="s">
        <v>526</v>
      </c>
      <c r="E174" s="11" t="s">
        <v>23</v>
      </c>
      <c r="F174" s="11"/>
      <c r="G174" s="10" t="s">
        <v>73</v>
      </c>
      <c r="H174" s="10" t="s">
        <v>527</v>
      </c>
      <c r="I174" s="10"/>
      <c r="J174" s="10"/>
      <c r="K174" s="10"/>
      <c r="L174" s="12">
        <f>计价规则!$B$2+计价规则!$B$3*MAX(0,IF(H174="",0,LEN(H174)-LEN(SUBSTITUTE(H174,"、",""))+1)-(IF(ISNUMBER(SEARCH("WiFi通信模块",H174)),1,0)+IF(ISNUMBER(SEARCH("ESP8266 WiFi模块",H174)),1,0)+IF(ISNUMBER(SEARCH("NRF24L01无线通信模块",H174)),1,0)+IF(ISNUMBER(SEARCH("蓝牙模块",H174)),1,0)+IF(ISNUMBER(SEARCH("语音识别模块",H174)),1,0)+IF(ISNUMBER(SEARCH("语音播报模块",H174)),1,0)+IF(ISNUMBER(SEARCH("RFID模块",H174)),1,0)+IF(ISNUMBER(SEARCH("RFID读卡模块",H174)),1,0)+IF(ISNUMBER(SEARCH("GPS定位模块",H174)),1,0)+IF(ISNUMBER(SEARCH("GSM通信模块",H174)),1,0)+IF(ISNUMBER(SEARCH("摄像头模块",H174)),1,0)+IF(ISNUMBER(SEARCH("人脸识别模块",H174)),1,0)+IF(ISNUMBER(SEARCH("手势识别传感器",H174)),1,0)))</f>
        <v>90</v>
      </c>
      <c r="M174" s="12">
        <f>计价规则!$B$4+计价规则!$B$5*IF(H174="",0,LEN(H174)-LEN(SUBSTITUTE(H174,"、",""))+1)</f>
        <v>90</v>
      </c>
      <c r="N174" s="12"/>
      <c r="O174" s="12">
        <f>计价规则!$B$6</f>
        <v>100</v>
      </c>
      <c r="P174" s="12">
        <f>计价规则!$B$6</f>
        <v>100</v>
      </c>
      <c r="Q174" s="12">
        <f>计价规则!$B$6</f>
        <v>100</v>
      </c>
      <c r="R174" s="12">
        <f>计价规则!$B$7</f>
        <v>400</v>
      </c>
      <c r="S174" s="8" t="s">
        <v>26</v>
      </c>
      <c r="T174" s="13">
        <v>173</v>
      </c>
    </row>
    <row r="175" ht="26" customHeight="1" spans="1:20">
      <c r="A175" s="8">
        <f t="shared" si="2"/>
        <v>174</v>
      </c>
      <c r="B175" s="8" t="s">
        <v>289</v>
      </c>
      <c r="C175" s="9" t="s">
        <v>528</v>
      </c>
      <c r="D175" s="10" t="s">
        <v>529</v>
      </c>
      <c r="E175" s="11" t="s">
        <v>23</v>
      </c>
      <c r="F175" s="11"/>
      <c r="G175" s="10" t="s">
        <v>530</v>
      </c>
      <c r="H175" s="10" t="s">
        <v>531</v>
      </c>
      <c r="I175" s="10"/>
      <c r="J175" s="10"/>
      <c r="K175" s="10"/>
      <c r="L175" s="12">
        <f>计价规则!$B$2+计价规则!$B$3*MAX(0,IF(H175="",0,LEN(H175)-LEN(SUBSTITUTE(H175,"、",""))+1)-(IF(ISNUMBER(SEARCH("WiFi通信模块",H175)),1,0)+IF(ISNUMBER(SEARCH("ESP8266 WiFi模块",H175)),1,0)+IF(ISNUMBER(SEARCH("NRF24L01无线通信模块",H175)),1,0)+IF(ISNUMBER(SEARCH("蓝牙模块",H175)),1,0)+IF(ISNUMBER(SEARCH("语音识别模块",H175)),1,0)+IF(ISNUMBER(SEARCH("语音播报模块",H175)),1,0)+IF(ISNUMBER(SEARCH("RFID模块",H175)),1,0)+IF(ISNUMBER(SEARCH("RFID读卡模块",H175)),1,0)+IF(ISNUMBER(SEARCH("GPS定位模块",H175)),1,0)+IF(ISNUMBER(SEARCH("GSM通信模块",H175)),1,0)+IF(ISNUMBER(SEARCH("摄像头模块",H175)),1,0)+IF(ISNUMBER(SEARCH("人脸识别模块",H175)),1,0)+IF(ISNUMBER(SEARCH("手势识别传感器",H175)),1,0)))</f>
        <v>90</v>
      </c>
      <c r="M175" s="12">
        <f>计价规则!$B$4+计价规则!$B$5*IF(H175="",0,LEN(H175)-LEN(SUBSTITUTE(H175,"、",""))+1)</f>
        <v>90</v>
      </c>
      <c r="N175" s="12"/>
      <c r="O175" s="12">
        <f>计价规则!$B$6</f>
        <v>100</v>
      </c>
      <c r="P175" s="12">
        <f>计价规则!$B$6</f>
        <v>100</v>
      </c>
      <c r="Q175" s="12">
        <f>计价规则!$B$6</f>
        <v>100</v>
      </c>
      <c r="R175" s="12">
        <f>计价规则!$B$7</f>
        <v>400</v>
      </c>
      <c r="S175" s="8" t="s">
        <v>26</v>
      </c>
      <c r="T175" s="13">
        <v>174</v>
      </c>
    </row>
    <row r="176" ht="26" customHeight="1" spans="1:20">
      <c r="A176" s="8">
        <f t="shared" si="2"/>
        <v>175</v>
      </c>
      <c r="B176" s="8" t="s">
        <v>289</v>
      </c>
      <c r="C176" s="9" t="s">
        <v>532</v>
      </c>
      <c r="D176" s="10" t="s">
        <v>533</v>
      </c>
      <c r="E176" s="11" t="s">
        <v>23</v>
      </c>
      <c r="F176" s="11"/>
      <c r="G176" s="10" t="s">
        <v>185</v>
      </c>
      <c r="H176" s="10" t="s">
        <v>534</v>
      </c>
      <c r="I176" s="10"/>
      <c r="J176" s="10"/>
      <c r="K176" s="10"/>
      <c r="L176" s="12">
        <f>计价规则!$B$2+计价规则!$B$3*MAX(0,IF(H176="",0,LEN(H176)-LEN(SUBSTITUTE(H176,"、",""))+1)-(IF(ISNUMBER(SEARCH("WiFi通信模块",H176)),1,0)+IF(ISNUMBER(SEARCH("ESP8266 WiFi模块",H176)),1,0)+IF(ISNUMBER(SEARCH("NRF24L01无线通信模块",H176)),1,0)+IF(ISNUMBER(SEARCH("蓝牙模块",H176)),1,0)+IF(ISNUMBER(SEARCH("语音识别模块",H176)),1,0)+IF(ISNUMBER(SEARCH("语音播报模块",H176)),1,0)+IF(ISNUMBER(SEARCH("RFID模块",H176)),1,0)+IF(ISNUMBER(SEARCH("RFID读卡模块",H176)),1,0)+IF(ISNUMBER(SEARCH("GPS定位模块",H176)),1,0)+IF(ISNUMBER(SEARCH("GSM通信模块",H176)),1,0)+IF(ISNUMBER(SEARCH("摄像头模块",H176)),1,0)+IF(ISNUMBER(SEARCH("人脸识别模块",H176)),1,0)+IF(ISNUMBER(SEARCH("手势识别传感器",H176)),1,0)))</f>
        <v>90</v>
      </c>
      <c r="M176" s="12">
        <f>计价规则!$B$4+计价规则!$B$5*IF(H176="",0,LEN(H176)-LEN(SUBSTITUTE(H176,"、",""))+1)</f>
        <v>90</v>
      </c>
      <c r="N176" s="12"/>
      <c r="O176" s="12">
        <f>计价规则!$B$6</f>
        <v>100</v>
      </c>
      <c r="P176" s="12">
        <f>计价规则!$B$6</f>
        <v>100</v>
      </c>
      <c r="Q176" s="12">
        <f>计价规则!$B$6</f>
        <v>100</v>
      </c>
      <c r="R176" s="12">
        <f>计价规则!$B$7</f>
        <v>400</v>
      </c>
      <c r="S176" s="8" t="s">
        <v>26</v>
      </c>
      <c r="T176" s="13">
        <v>175</v>
      </c>
    </row>
    <row r="177" ht="26" customHeight="1" spans="1:20">
      <c r="A177" s="8">
        <f t="shared" si="2"/>
        <v>176</v>
      </c>
      <c r="B177" s="8" t="s">
        <v>289</v>
      </c>
      <c r="C177" s="9" t="s">
        <v>535</v>
      </c>
      <c r="D177" s="10" t="s">
        <v>536</v>
      </c>
      <c r="E177" s="11" t="s">
        <v>23</v>
      </c>
      <c r="F177" s="11"/>
      <c r="G177" s="10" t="s">
        <v>54</v>
      </c>
      <c r="H177" s="10" t="s">
        <v>537</v>
      </c>
      <c r="I177" s="10"/>
      <c r="J177" s="10"/>
      <c r="K177" s="10"/>
      <c r="L177" s="12">
        <f>计价规则!$B$2+计价规则!$B$3*MAX(0,IF(H177="",0,LEN(H177)-LEN(SUBSTITUTE(H177,"、",""))+1)-(IF(ISNUMBER(SEARCH("WiFi通信模块",H177)),1,0)+IF(ISNUMBER(SEARCH("ESP8266 WiFi模块",H177)),1,0)+IF(ISNUMBER(SEARCH("NRF24L01无线通信模块",H177)),1,0)+IF(ISNUMBER(SEARCH("蓝牙模块",H177)),1,0)+IF(ISNUMBER(SEARCH("语音识别模块",H177)),1,0)+IF(ISNUMBER(SEARCH("语音播报模块",H177)),1,0)+IF(ISNUMBER(SEARCH("RFID模块",H177)),1,0)+IF(ISNUMBER(SEARCH("RFID读卡模块",H177)),1,0)+IF(ISNUMBER(SEARCH("GPS定位模块",H177)),1,0)+IF(ISNUMBER(SEARCH("GSM通信模块",H177)),1,0)+IF(ISNUMBER(SEARCH("摄像头模块",H177)),1,0)+IF(ISNUMBER(SEARCH("人脸识别模块",H177)),1,0)+IF(ISNUMBER(SEARCH("手势识别传感器",H177)),1,0)))</f>
        <v>105</v>
      </c>
      <c r="M177" s="12">
        <f>计价规则!$B$4+计价规则!$B$5*IF(H177="",0,LEN(H177)-LEN(SUBSTITUTE(H177,"、",""))+1)</f>
        <v>110</v>
      </c>
      <c r="N177" s="12"/>
      <c r="O177" s="12">
        <f>计价规则!$B$6</f>
        <v>100</v>
      </c>
      <c r="P177" s="12">
        <f>计价规则!$B$6</f>
        <v>100</v>
      </c>
      <c r="Q177" s="12">
        <f>计价规则!$B$6</f>
        <v>100</v>
      </c>
      <c r="R177" s="12">
        <f>计价规则!$B$7</f>
        <v>400</v>
      </c>
      <c r="S177" s="8" t="s">
        <v>26</v>
      </c>
      <c r="T177" s="13">
        <v>176</v>
      </c>
    </row>
    <row r="178" ht="26" customHeight="1" spans="1:20">
      <c r="A178" s="8">
        <f t="shared" si="2"/>
        <v>177</v>
      </c>
      <c r="B178" s="8" t="s">
        <v>289</v>
      </c>
      <c r="C178" s="9" t="s">
        <v>538</v>
      </c>
      <c r="D178" s="10" t="s">
        <v>539</v>
      </c>
      <c r="E178" s="11" t="s">
        <v>23</v>
      </c>
      <c r="F178" s="11"/>
      <c r="G178" s="10" t="s">
        <v>24</v>
      </c>
      <c r="H178" s="10" t="s">
        <v>540</v>
      </c>
      <c r="I178" s="10"/>
      <c r="J178" s="10"/>
      <c r="K178" s="10"/>
      <c r="L178" s="12">
        <f>计价规则!$B$2+计价规则!$B$3*MAX(0,IF(H178="",0,LEN(H178)-LEN(SUBSTITUTE(H178,"、",""))+1)-(IF(ISNUMBER(SEARCH("WiFi通信模块",H178)),1,0)+IF(ISNUMBER(SEARCH("ESP8266 WiFi模块",H178)),1,0)+IF(ISNUMBER(SEARCH("NRF24L01无线通信模块",H178)),1,0)+IF(ISNUMBER(SEARCH("蓝牙模块",H178)),1,0)+IF(ISNUMBER(SEARCH("语音识别模块",H178)),1,0)+IF(ISNUMBER(SEARCH("语音播报模块",H178)),1,0)+IF(ISNUMBER(SEARCH("RFID模块",H178)),1,0)+IF(ISNUMBER(SEARCH("RFID读卡模块",H178)),1,0)+IF(ISNUMBER(SEARCH("GPS定位模块",H178)),1,0)+IF(ISNUMBER(SEARCH("GSM通信模块",H178)),1,0)+IF(ISNUMBER(SEARCH("摄像头模块",H178)),1,0)+IF(ISNUMBER(SEARCH("人脸识别模块",H178)),1,0)+IF(ISNUMBER(SEARCH("手势识别传感器",H178)),1,0)))</f>
        <v>90</v>
      </c>
      <c r="M178" s="12">
        <f>计价规则!$B$4+计价规则!$B$5*IF(H178="",0,LEN(H178)-LEN(SUBSTITUTE(H178,"、",""))+1)</f>
        <v>90</v>
      </c>
      <c r="N178" s="12"/>
      <c r="O178" s="12">
        <f>计价规则!$B$6</f>
        <v>100</v>
      </c>
      <c r="P178" s="12">
        <f>计价规则!$B$6</f>
        <v>100</v>
      </c>
      <c r="Q178" s="12">
        <f>计价规则!$B$6</f>
        <v>100</v>
      </c>
      <c r="R178" s="12">
        <f>计价规则!$B$7</f>
        <v>400</v>
      </c>
      <c r="S178" s="8" t="s">
        <v>26</v>
      </c>
      <c r="T178" s="13">
        <v>177</v>
      </c>
    </row>
    <row r="179" ht="26" customHeight="1" spans="1:20">
      <c r="A179" s="8">
        <f t="shared" si="2"/>
        <v>178</v>
      </c>
      <c r="B179" s="8" t="s">
        <v>289</v>
      </c>
      <c r="C179" s="9" t="s">
        <v>541</v>
      </c>
      <c r="D179" s="10" t="s">
        <v>542</v>
      </c>
      <c r="E179" s="11" t="s">
        <v>23</v>
      </c>
      <c r="F179" s="11"/>
      <c r="G179" s="10" t="s">
        <v>73</v>
      </c>
      <c r="H179" s="10" t="s">
        <v>543</v>
      </c>
      <c r="I179" s="10"/>
      <c r="J179" s="10"/>
      <c r="K179" s="10"/>
      <c r="L179" s="12">
        <f>计价规则!$B$2+计价规则!$B$3*MAX(0,IF(H179="",0,LEN(H179)-LEN(SUBSTITUTE(H179,"、",""))+1)-(IF(ISNUMBER(SEARCH("WiFi通信模块",H179)),1,0)+IF(ISNUMBER(SEARCH("ESP8266 WiFi模块",H179)),1,0)+IF(ISNUMBER(SEARCH("NRF24L01无线通信模块",H179)),1,0)+IF(ISNUMBER(SEARCH("蓝牙模块",H179)),1,0)+IF(ISNUMBER(SEARCH("语音识别模块",H179)),1,0)+IF(ISNUMBER(SEARCH("语音播报模块",H179)),1,0)+IF(ISNUMBER(SEARCH("RFID模块",H179)),1,0)+IF(ISNUMBER(SEARCH("RFID读卡模块",H179)),1,0)+IF(ISNUMBER(SEARCH("GPS定位模块",H179)),1,0)+IF(ISNUMBER(SEARCH("GSM通信模块",H179)),1,0)+IF(ISNUMBER(SEARCH("摄像头模块",H179)),1,0)+IF(ISNUMBER(SEARCH("人脸识别模块",H179)),1,0)+IF(ISNUMBER(SEARCH("手势识别传感器",H179)),1,0)))</f>
        <v>90</v>
      </c>
      <c r="M179" s="12">
        <f>计价规则!$B$4+计价规则!$B$5*IF(H179="",0,LEN(H179)-LEN(SUBSTITUTE(H179,"、",""))+1)</f>
        <v>90</v>
      </c>
      <c r="N179" s="12"/>
      <c r="O179" s="12">
        <f>计价规则!$B$6</f>
        <v>100</v>
      </c>
      <c r="P179" s="12">
        <f>计价规则!$B$6</f>
        <v>100</v>
      </c>
      <c r="Q179" s="12">
        <f>计价规则!$B$6</f>
        <v>100</v>
      </c>
      <c r="R179" s="12">
        <f>计价规则!$B$7</f>
        <v>400</v>
      </c>
      <c r="S179" s="8" t="s">
        <v>26</v>
      </c>
      <c r="T179" s="13">
        <v>178</v>
      </c>
    </row>
    <row r="180" ht="26" customHeight="1" spans="1:20">
      <c r="A180" s="8">
        <f t="shared" si="2"/>
        <v>179</v>
      </c>
      <c r="B180" s="8" t="s">
        <v>289</v>
      </c>
      <c r="C180" s="9" t="s">
        <v>544</v>
      </c>
      <c r="D180" s="10" t="s">
        <v>545</v>
      </c>
      <c r="E180" s="11" t="s">
        <v>23</v>
      </c>
      <c r="F180" s="11"/>
      <c r="G180" s="10" t="s">
        <v>131</v>
      </c>
      <c r="H180" s="10" t="s">
        <v>198</v>
      </c>
      <c r="I180" s="10"/>
      <c r="J180" s="10"/>
      <c r="K180" s="10"/>
      <c r="L180" s="12">
        <f>计价规则!$B$2+计价规则!$B$3*MAX(0,IF(H180="",0,LEN(H180)-LEN(SUBSTITUTE(H180,"、",""))+1)-(IF(ISNUMBER(SEARCH("WiFi通信模块",H180)),1,0)+IF(ISNUMBER(SEARCH("ESP8266 WiFi模块",H180)),1,0)+IF(ISNUMBER(SEARCH("NRF24L01无线通信模块",H180)),1,0)+IF(ISNUMBER(SEARCH("蓝牙模块",H180)),1,0)+IF(ISNUMBER(SEARCH("语音识别模块",H180)),1,0)+IF(ISNUMBER(SEARCH("语音播报模块",H180)),1,0)+IF(ISNUMBER(SEARCH("RFID模块",H180)),1,0)+IF(ISNUMBER(SEARCH("RFID读卡模块",H180)),1,0)+IF(ISNUMBER(SEARCH("GPS定位模块",H180)),1,0)+IF(ISNUMBER(SEARCH("GSM通信模块",H180)),1,0)+IF(ISNUMBER(SEARCH("摄像头模块",H180)),1,0)+IF(ISNUMBER(SEARCH("人脸识别模块",H180)),1,0)+IF(ISNUMBER(SEARCH("手势识别传感器",H180)),1,0)))</f>
        <v>90</v>
      </c>
      <c r="M180" s="12">
        <f>计价规则!$B$4+计价规则!$B$5*IF(H180="",0,LEN(H180)-LEN(SUBSTITUTE(H180,"、",""))+1)</f>
        <v>90</v>
      </c>
      <c r="N180" s="12"/>
      <c r="O180" s="12">
        <f>计价规则!$B$6</f>
        <v>100</v>
      </c>
      <c r="P180" s="12">
        <f>计价规则!$B$6</f>
        <v>100</v>
      </c>
      <c r="Q180" s="12">
        <f>计价规则!$B$6</f>
        <v>100</v>
      </c>
      <c r="R180" s="12">
        <f>计价规则!$B$7</f>
        <v>400</v>
      </c>
      <c r="S180" s="8" t="s">
        <v>26</v>
      </c>
      <c r="T180" s="13">
        <v>179</v>
      </c>
    </row>
    <row r="181" ht="26" customHeight="1" spans="1:20">
      <c r="A181" s="8">
        <f t="shared" si="2"/>
        <v>180</v>
      </c>
      <c r="B181" s="8" t="s">
        <v>289</v>
      </c>
      <c r="C181" s="9" t="s">
        <v>546</v>
      </c>
      <c r="D181" s="10" t="s">
        <v>547</v>
      </c>
      <c r="E181" s="11" t="s">
        <v>23</v>
      </c>
      <c r="F181" s="11"/>
      <c r="G181" s="10" t="s">
        <v>24</v>
      </c>
      <c r="H181" s="10" t="s">
        <v>244</v>
      </c>
      <c r="I181" s="10"/>
      <c r="J181" s="10"/>
      <c r="K181" s="10"/>
      <c r="L181" s="12">
        <f>计价规则!$B$2+计价规则!$B$3*MAX(0,IF(H181="",0,LEN(H181)-LEN(SUBSTITUTE(H181,"、",""))+1)-(IF(ISNUMBER(SEARCH("WiFi通信模块",H181)),1,0)+IF(ISNUMBER(SEARCH("ESP8266 WiFi模块",H181)),1,0)+IF(ISNUMBER(SEARCH("NRF24L01无线通信模块",H181)),1,0)+IF(ISNUMBER(SEARCH("蓝牙模块",H181)),1,0)+IF(ISNUMBER(SEARCH("语音识别模块",H181)),1,0)+IF(ISNUMBER(SEARCH("语音播报模块",H181)),1,0)+IF(ISNUMBER(SEARCH("RFID模块",H181)),1,0)+IF(ISNUMBER(SEARCH("RFID读卡模块",H181)),1,0)+IF(ISNUMBER(SEARCH("GPS定位模块",H181)),1,0)+IF(ISNUMBER(SEARCH("GSM通信模块",H181)),1,0)+IF(ISNUMBER(SEARCH("摄像头模块",H181)),1,0)+IF(ISNUMBER(SEARCH("人脸识别模块",H181)),1,0)+IF(ISNUMBER(SEARCH("手势识别传感器",H181)),1,0)))</f>
        <v>90</v>
      </c>
      <c r="M181" s="12">
        <f>计价规则!$B$4+计价规则!$B$5*IF(H181="",0,LEN(H181)-LEN(SUBSTITUTE(H181,"、",""))+1)</f>
        <v>90</v>
      </c>
      <c r="N181" s="12"/>
      <c r="O181" s="12">
        <f>计价规则!$B$6</f>
        <v>100</v>
      </c>
      <c r="P181" s="12">
        <f>计价规则!$B$6</f>
        <v>100</v>
      </c>
      <c r="Q181" s="12">
        <f>计价规则!$B$6</f>
        <v>100</v>
      </c>
      <c r="R181" s="12">
        <f>计价规则!$B$7</f>
        <v>400</v>
      </c>
      <c r="S181" s="8" t="s">
        <v>26</v>
      </c>
      <c r="T181" s="13">
        <v>180</v>
      </c>
    </row>
    <row r="182" ht="26" customHeight="1" spans="1:20">
      <c r="A182" s="8">
        <f t="shared" si="2"/>
        <v>181</v>
      </c>
      <c r="B182" s="8" t="s">
        <v>289</v>
      </c>
      <c r="C182" s="9" t="s">
        <v>548</v>
      </c>
      <c r="D182" s="10" t="s">
        <v>549</v>
      </c>
      <c r="E182" s="11" t="s">
        <v>23</v>
      </c>
      <c r="F182" s="11"/>
      <c r="G182" s="10" t="s">
        <v>24</v>
      </c>
      <c r="H182" s="10" t="s">
        <v>44</v>
      </c>
      <c r="I182" s="10"/>
      <c r="J182" s="10"/>
      <c r="K182" s="10"/>
      <c r="L182" s="12">
        <f>计价规则!$B$2+计价规则!$B$3*MAX(0,IF(H182="",0,LEN(H182)-LEN(SUBSTITUTE(H182,"、",""))+1)-(IF(ISNUMBER(SEARCH("WiFi通信模块",H182)),1,0)+IF(ISNUMBER(SEARCH("ESP8266 WiFi模块",H182)),1,0)+IF(ISNUMBER(SEARCH("NRF24L01无线通信模块",H182)),1,0)+IF(ISNUMBER(SEARCH("蓝牙模块",H182)),1,0)+IF(ISNUMBER(SEARCH("语音识别模块",H182)),1,0)+IF(ISNUMBER(SEARCH("语音播报模块",H182)),1,0)+IF(ISNUMBER(SEARCH("RFID模块",H182)),1,0)+IF(ISNUMBER(SEARCH("RFID读卡模块",H182)),1,0)+IF(ISNUMBER(SEARCH("GPS定位模块",H182)),1,0)+IF(ISNUMBER(SEARCH("GSM通信模块",H182)),1,0)+IF(ISNUMBER(SEARCH("摄像头模块",H182)),1,0)+IF(ISNUMBER(SEARCH("人脸识别模块",H182)),1,0)+IF(ISNUMBER(SEARCH("手势识别传感器",H182)),1,0)))</f>
        <v>90</v>
      </c>
      <c r="M182" s="12">
        <f>计价规则!$B$4+计价规则!$B$5*IF(H182="",0,LEN(H182)-LEN(SUBSTITUTE(H182,"、",""))+1)</f>
        <v>90</v>
      </c>
      <c r="N182" s="12"/>
      <c r="O182" s="12">
        <f>计价规则!$B$6</f>
        <v>100</v>
      </c>
      <c r="P182" s="12">
        <f>计价规则!$B$6</f>
        <v>100</v>
      </c>
      <c r="Q182" s="12">
        <f>计价规则!$B$6</f>
        <v>100</v>
      </c>
      <c r="R182" s="12">
        <f>计价规则!$B$7</f>
        <v>400</v>
      </c>
      <c r="S182" s="8" t="s">
        <v>26</v>
      </c>
      <c r="T182" s="13">
        <v>181</v>
      </c>
    </row>
    <row r="183" ht="26" customHeight="1" spans="1:20">
      <c r="A183" s="8">
        <f t="shared" si="2"/>
        <v>182</v>
      </c>
      <c r="B183" s="8" t="s">
        <v>289</v>
      </c>
      <c r="C183" s="9" t="s">
        <v>550</v>
      </c>
      <c r="D183" s="10" t="s">
        <v>551</v>
      </c>
      <c r="E183" s="11" t="s">
        <v>23</v>
      </c>
      <c r="F183" s="11"/>
      <c r="G183" s="10" t="s">
        <v>24</v>
      </c>
      <c r="H183" s="10" t="s">
        <v>360</v>
      </c>
      <c r="I183" s="10"/>
      <c r="J183" s="10"/>
      <c r="K183" s="10"/>
      <c r="L183" s="12">
        <f>计价规则!$B$2+计价规则!$B$3*MAX(0,IF(H183="",0,LEN(H183)-LEN(SUBSTITUTE(H183,"、",""))+1)-(IF(ISNUMBER(SEARCH("WiFi通信模块",H183)),1,0)+IF(ISNUMBER(SEARCH("ESP8266 WiFi模块",H183)),1,0)+IF(ISNUMBER(SEARCH("NRF24L01无线通信模块",H183)),1,0)+IF(ISNUMBER(SEARCH("蓝牙模块",H183)),1,0)+IF(ISNUMBER(SEARCH("语音识别模块",H183)),1,0)+IF(ISNUMBER(SEARCH("语音播报模块",H183)),1,0)+IF(ISNUMBER(SEARCH("RFID模块",H183)),1,0)+IF(ISNUMBER(SEARCH("RFID读卡模块",H183)),1,0)+IF(ISNUMBER(SEARCH("GPS定位模块",H183)),1,0)+IF(ISNUMBER(SEARCH("GSM通信模块",H183)),1,0)+IF(ISNUMBER(SEARCH("摄像头模块",H183)),1,0)+IF(ISNUMBER(SEARCH("人脸识别模块",H183)),1,0)+IF(ISNUMBER(SEARCH("手势识别传感器",H183)),1,0)))</f>
        <v>75</v>
      </c>
      <c r="M183" s="12">
        <f>计价规则!$B$4+计价规则!$B$5*IF(H183="",0,LEN(H183)-LEN(SUBSTITUTE(H183,"、",""))+1)</f>
        <v>70</v>
      </c>
      <c r="N183" s="12"/>
      <c r="O183" s="12">
        <f>计价规则!$B$6</f>
        <v>100</v>
      </c>
      <c r="P183" s="12">
        <f>计价规则!$B$6</f>
        <v>100</v>
      </c>
      <c r="Q183" s="12">
        <f>计价规则!$B$6</f>
        <v>100</v>
      </c>
      <c r="R183" s="12">
        <f>计价规则!$B$7</f>
        <v>400</v>
      </c>
      <c r="S183" s="8" t="s">
        <v>26</v>
      </c>
      <c r="T183" s="13">
        <v>182</v>
      </c>
    </row>
    <row r="184" ht="26" customHeight="1" spans="1:20">
      <c r="A184" s="8">
        <f t="shared" si="2"/>
        <v>183</v>
      </c>
      <c r="B184" s="8" t="s">
        <v>289</v>
      </c>
      <c r="C184" s="9" t="s">
        <v>552</v>
      </c>
      <c r="D184" s="10" t="s">
        <v>553</v>
      </c>
      <c r="E184" s="11" t="s">
        <v>23</v>
      </c>
      <c r="F184" s="11"/>
      <c r="G184" s="10" t="s">
        <v>73</v>
      </c>
      <c r="H184" s="10" t="s">
        <v>554</v>
      </c>
      <c r="I184" s="10"/>
      <c r="J184" s="10"/>
      <c r="K184" s="10"/>
      <c r="L184" s="12">
        <f>计价规则!$B$2+计价规则!$B$3*MAX(0,IF(H184="",0,LEN(H184)-LEN(SUBSTITUTE(H184,"、",""))+1)-(IF(ISNUMBER(SEARCH("WiFi通信模块",H184)),1,0)+IF(ISNUMBER(SEARCH("ESP8266 WiFi模块",H184)),1,0)+IF(ISNUMBER(SEARCH("NRF24L01无线通信模块",H184)),1,0)+IF(ISNUMBER(SEARCH("蓝牙模块",H184)),1,0)+IF(ISNUMBER(SEARCH("语音识别模块",H184)),1,0)+IF(ISNUMBER(SEARCH("语音播报模块",H184)),1,0)+IF(ISNUMBER(SEARCH("RFID模块",H184)),1,0)+IF(ISNUMBER(SEARCH("RFID读卡模块",H184)),1,0)+IF(ISNUMBER(SEARCH("GPS定位模块",H184)),1,0)+IF(ISNUMBER(SEARCH("GSM通信模块",H184)),1,0)+IF(ISNUMBER(SEARCH("摄像头模块",H184)),1,0)+IF(ISNUMBER(SEARCH("人脸识别模块",H184)),1,0)+IF(ISNUMBER(SEARCH("手势识别传感器",H184)),1,0)))</f>
        <v>75</v>
      </c>
      <c r="M184" s="12">
        <f>计价规则!$B$4+计价规则!$B$5*IF(H184="",0,LEN(H184)-LEN(SUBSTITUTE(H184,"、",""))+1)</f>
        <v>70</v>
      </c>
      <c r="N184" s="12"/>
      <c r="O184" s="12">
        <f>计价规则!$B$6</f>
        <v>100</v>
      </c>
      <c r="P184" s="12">
        <f>计价规则!$B$6</f>
        <v>100</v>
      </c>
      <c r="Q184" s="12">
        <f>计价规则!$B$6</f>
        <v>100</v>
      </c>
      <c r="R184" s="12">
        <f>计价规则!$B$7</f>
        <v>400</v>
      </c>
      <c r="S184" s="8" t="s">
        <v>26</v>
      </c>
      <c r="T184" s="13">
        <v>183</v>
      </c>
    </row>
    <row r="185" ht="26" customHeight="1" spans="1:20">
      <c r="A185" s="8">
        <f t="shared" si="2"/>
        <v>184</v>
      </c>
      <c r="B185" s="8" t="s">
        <v>289</v>
      </c>
      <c r="C185" s="9" t="s">
        <v>555</v>
      </c>
      <c r="D185" s="10" t="s">
        <v>556</v>
      </c>
      <c r="E185" s="11" t="s">
        <v>23</v>
      </c>
      <c r="F185" s="11"/>
      <c r="G185" s="10" t="s">
        <v>557</v>
      </c>
      <c r="H185" s="10" t="s">
        <v>558</v>
      </c>
      <c r="I185" s="10"/>
      <c r="J185" s="10"/>
      <c r="K185" s="10"/>
      <c r="L185" s="12">
        <f>计价规则!$B$2+计价规则!$B$3*MAX(0,IF(H185="",0,LEN(H185)-LEN(SUBSTITUTE(H185,"、",""))+1)-(IF(ISNUMBER(SEARCH("WiFi通信模块",H185)),1,0)+IF(ISNUMBER(SEARCH("ESP8266 WiFi模块",H185)),1,0)+IF(ISNUMBER(SEARCH("NRF24L01无线通信模块",H185)),1,0)+IF(ISNUMBER(SEARCH("蓝牙模块",H185)),1,0)+IF(ISNUMBER(SEARCH("语音识别模块",H185)),1,0)+IF(ISNUMBER(SEARCH("语音播报模块",H185)),1,0)+IF(ISNUMBER(SEARCH("RFID模块",H185)),1,0)+IF(ISNUMBER(SEARCH("RFID读卡模块",H185)),1,0)+IF(ISNUMBER(SEARCH("GPS定位模块",H185)),1,0)+IF(ISNUMBER(SEARCH("GSM通信模块",H185)),1,0)+IF(ISNUMBER(SEARCH("摄像头模块",H185)),1,0)+IF(ISNUMBER(SEARCH("人脸识别模块",H185)),1,0)+IF(ISNUMBER(SEARCH("手势识别传感器",H185)),1,0)))</f>
        <v>105</v>
      </c>
      <c r="M185" s="12">
        <f>计价规则!$B$4+计价规则!$B$5*IF(H185="",0,LEN(H185)-LEN(SUBSTITUTE(H185,"、",""))+1)</f>
        <v>110</v>
      </c>
      <c r="N185" s="12"/>
      <c r="O185" s="12">
        <f>计价规则!$B$6</f>
        <v>100</v>
      </c>
      <c r="P185" s="12">
        <f>计价规则!$B$6</f>
        <v>100</v>
      </c>
      <c r="Q185" s="12">
        <f>计价规则!$B$6</f>
        <v>100</v>
      </c>
      <c r="R185" s="12">
        <f>计价规则!$B$7</f>
        <v>400</v>
      </c>
      <c r="S185" s="8" t="s">
        <v>26</v>
      </c>
      <c r="T185" s="13">
        <v>184</v>
      </c>
    </row>
    <row r="186" ht="26" customHeight="1" spans="1:20">
      <c r="A186" s="8">
        <f t="shared" si="2"/>
        <v>185</v>
      </c>
      <c r="B186" s="8" t="s">
        <v>289</v>
      </c>
      <c r="C186" s="9" t="s">
        <v>559</v>
      </c>
      <c r="D186" s="10" t="s">
        <v>560</v>
      </c>
      <c r="E186" s="11" t="s">
        <v>23</v>
      </c>
      <c r="F186" s="11"/>
      <c r="G186" s="10" t="s">
        <v>498</v>
      </c>
      <c r="H186" s="10" t="s">
        <v>513</v>
      </c>
      <c r="I186" s="10"/>
      <c r="J186" s="10"/>
      <c r="K186" s="10"/>
      <c r="L186" s="12">
        <f>计价规则!$B$2+计价规则!$B$3*MAX(0,IF(H186="",0,LEN(H186)-LEN(SUBSTITUTE(H186,"、",""))+1)-(IF(ISNUMBER(SEARCH("WiFi通信模块",H186)),1,0)+IF(ISNUMBER(SEARCH("ESP8266 WiFi模块",H186)),1,0)+IF(ISNUMBER(SEARCH("NRF24L01无线通信模块",H186)),1,0)+IF(ISNUMBER(SEARCH("蓝牙模块",H186)),1,0)+IF(ISNUMBER(SEARCH("语音识别模块",H186)),1,0)+IF(ISNUMBER(SEARCH("语音播报模块",H186)),1,0)+IF(ISNUMBER(SEARCH("RFID模块",H186)),1,0)+IF(ISNUMBER(SEARCH("RFID读卡模块",H186)),1,0)+IF(ISNUMBER(SEARCH("GPS定位模块",H186)),1,0)+IF(ISNUMBER(SEARCH("GSM通信模块",H186)),1,0)+IF(ISNUMBER(SEARCH("摄像头模块",H186)),1,0)+IF(ISNUMBER(SEARCH("人脸识别模块",H186)),1,0)+IF(ISNUMBER(SEARCH("手势识别传感器",H186)),1,0)))</f>
        <v>105</v>
      </c>
      <c r="M186" s="12">
        <f>计价规则!$B$4+计价规则!$B$5*IF(H186="",0,LEN(H186)-LEN(SUBSTITUTE(H186,"、",""))+1)</f>
        <v>110</v>
      </c>
      <c r="N186" s="12"/>
      <c r="O186" s="12">
        <f>计价规则!$B$6</f>
        <v>100</v>
      </c>
      <c r="P186" s="12">
        <f>计价规则!$B$6</f>
        <v>100</v>
      </c>
      <c r="Q186" s="12">
        <f>计价规则!$B$6</f>
        <v>100</v>
      </c>
      <c r="R186" s="12">
        <f>计价规则!$B$7</f>
        <v>400</v>
      </c>
      <c r="S186" s="8" t="s">
        <v>26</v>
      </c>
      <c r="T186" s="13">
        <v>185</v>
      </c>
    </row>
    <row r="187" ht="26" customHeight="1" spans="1:20">
      <c r="A187" s="8">
        <f t="shared" si="2"/>
        <v>186</v>
      </c>
      <c r="B187" s="8" t="s">
        <v>289</v>
      </c>
      <c r="C187" s="9" t="s">
        <v>561</v>
      </c>
      <c r="D187" s="10" t="s">
        <v>562</v>
      </c>
      <c r="E187" s="11" t="s">
        <v>23</v>
      </c>
      <c r="F187" s="11"/>
      <c r="G187" s="10" t="s">
        <v>24</v>
      </c>
      <c r="H187" s="10" t="s">
        <v>563</v>
      </c>
      <c r="I187" s="10"/>
      <c r="J187" s="10"/>
      <c r="K187" s="10"/>
      <c r="L187" s="12">
        <f>计价规则!$B$2+计价规则!$B$3*MAX(0,IF(H187="",0,LEN(H187)-LEN(SUBSTITUTE(H187,"、",""))+1)-(IF(ISNUMBER(SEARCH("WiFi通信模块",H187)),1,0)+IF(ISNUMBER(SEARCH("ESP8266 WiFi模块",H187)),1,0)+IF(ISNUMBER(SEARCH("NRF24L01无线通信模块",H187)),1,0)+IF(ISNUMBER(SEARCH("蓝牙模块",H187)),1,0)+IF(ISNUMBER(SEARCH("语音识别模块",H187)),1,0)+IF(ISNUMBER(SEARCH("语音播报模块",H187)),1,0)+IF(ISNUMBER(SEARCH("RFID模块",H187)),1,0)+IF(ISNUMBER(SEARCH("RFID读卡模块",H187)),1,0)+IF(ISNUMBER(SEARCH("GPS定位模块",H187)),1,0)+IF(ISNUMBER(SEARCH("GSM通信模块",H187)),1,0)+IF(ISNUMBER(SEARCH("摄像头模块",H187)),1,0)+IF(ISNUMBER(SEARCH("人脸识别模块",H187)),1,0)+IF(ISNUMBER(SEARCH("手势识别传感器",H187)),1,0)))</f>
        <v>105</v>
      </c>
      <c r="M187" s="12">
        <f>计价规则!$B$4+计价规则!$B$5*IF(H187="",0,LEN(H187)-LEN(SUBSTITUTE(H187,"、",""))+1)</f>
        <v>110</v>
      </c>
      <c r="N187" s="12"/>
      <c r="O187" s="12">
        <f>计价规则!$B$6</f>
        <v>100</v>
      </c>
      <c r="P187" s="12">
        <f>计价规则!$B$6</f>
        <v>100</v>
      </c>
      <c r="Q187" s="12">
        <f>计价规则!$B$6</f>
        <v>100</v>
      </c>
      <c r="R187" s="12">
        <f>计价规则!$B$7</f>
        <v>400</v>
      </c>
      <c r="S187" s="8" t="s">
        <v>26</v>
      </c>
      <c r="T187" s="13">
        <v>186</v>
      </c>
    </row>
    <row r="188" ht="26" customHeight="1" spans="1:20">
      <c r="A188" s="8">
        <f t="shared" si="2"/>
        <v>187</v>
      </c>
      <c r="B188" s="8" t="s">
        <v>289</v>
      </c>
      <c r="C188" s="9" t="s">
        <v>564</v>
      </c>
      <c r="D188" s="10" t="s">
        <v>565</v>
      </c>
      <c r="E188" s="11" t="s">
        <v>23</v>
      </c>
      <c r="F188" s="11"/>
      <c r="G188" s="10" t="s">
        <v>62</v>
      </c>
      <c r="H188" s="10" t="s">
        <v>566</v>
      </c>
      <c r="I188" s="10"/>
      <c r="J188" s="10"/>
      <c r="K188" s="10"/>
      <c r="L188" s="12">
        <f>计价规则!$B$2+计价规则!$B$3*MAX(0,IF(H188="",0,LEN(H188)-LEN(SUBSTITUTE(H188,"、",""))+1)-(IF(ISNUMBER(SEARCH("WiFi通信模块",H188)),1,0)+IF(ISNUMBER(SEARCH("ESP8266 WiFi模块",H188)),1,0)+IF(ISNUMBER(SEARCH("NRF24L01无线通信模块",H188)),1,0)+IF(ISNUMBER(SEARCH("蓝牙模块",H188)),1,0)+IF(ISNUMBER(SEARCH("语音识别模块",H188)),1,0)+IF(ISNUMBER(SEARCH("语音播报模块",H188)),1,0)+IF(ISNUMBER(SEARCH("RFID模块",H188)),1,0)+IF(ISNUMBER(SEARCH("RFID读卡模块",H188)),1,0)+IF(ISNUMBER(SEARCH("GPS定位模块",H188)),1,0)+IF(ISNUMBER(SEARCH("GSM通信模块",H188)),1,0)+IF(ISNUMBER(SEARCH("摄像头模块",H188)),1,0)+IF(ISNUMBER(SEARCH("人脸识别模块",H188)),1,0)+IF(ISNUMBER(SEARCH("手势识别传感器",H188)),1,0)))</f>
        <v>90</v>
      </c>
      <c r="M188" s="12">
        <f>计价规则!$B$4+计价规则!$B$5*IF(H188="",0,LEN(H188)-LEN(SUBSTITUTE(H188,"、",""))+1)</f>
        <v>90</v>
      </c>
      <c r="N188" s="12"/>
      <c r="O188" s="12">
        <f>计价规则!$B$6</f>
        <v>100</v>
      </c>
      <c r="P188" s="12">
        <f>计价规则!$B$6</f>
        <v>100</v>
      </c>
      <c r="Q188" s="12">
        <f>计价规则!$B$6</f>
        <v>100</v>
      </c>
      <c r="R188" s="12">
        <f>计价规则!$B$7</f>
        <v>400</v>
      </c>
      <c r="S188" s="8" t="s">
        <v>26</v>
      </c>
      <c r="T188" s="13">
        <v>187</v>
      </c>
    </row>
    <row r="189" ht="26" customHeight="1" spans="1:20">
      <c r="A189" s="8">
        <f t="shared" si="2"/>
        <v>188</v>
      </c>
      <c r="B189" s="8" t="s">
        <v>289</v>
      </c>
      <c r="C189" s="9" t="s">
        <v>567</v>
      </c>
      <c r="D189" s="10" t="s">
        <v>568</v>
      </c>
      <c r="E189" s="11" t="s">
        <v>23</v>
      </c>
      <c r="F189" s="11"/>
      <c r="G189" s="10" t="s">
        <v>24</v>
      </c>
      <c r="H189" s="10" t="s">
        <v>418</v>
      </c>
      <c r="I189" s="10"/>
      <c r="J189" s="10"/>
      <c r="K189" s="10"/>
      <c r="L189" s="12">
        <f>计价规则!$B$2+计价规则!$B$3*MAX(0,IF(H189="",0,LEN(H189)-LEN(SUBSTITUTE(H189,"、",""))+1)-(IF(ISNUMBER(SEARCH("WiFi通信模块",H189)),1,0)+IF(ISNUMBER(SEARCH("ESP8266 WiFi模块",H189)),1,0)+IF(ISNUMBER(SEARCH("NRF24L01无线通信模块",H189)),1,0)+IF(ISNUMBER(SEARCH("蓝牙模块",H189)),1,0)+IF(ISNUMBER(SEARCH("语音识别模块",H189)),1,0)+IF(ISNUMBER(SEARCH("语音播报模块",H189)),1,0)+IF(ISNUMBER(SEARCH("RFID模块",H189)),1,0)+IF(ISNUMBER(SEARCH("RFID读卡模块",H189)),1,0)+IF(ISNUMBER(SEARCH("GPS定位模块",H189)),1,0)+IF(ISNUMBER(SEARCH("GSM通信模块",H189)),1,0)+IF(ISNUMBER(SEARCH("摄像头模块",H189)),1,0)+IF(ISNUMBER(SEARCH("人脸识别模块",H189)),1,0)+IF(ISNUMBER(SEARCH("手势识别传感器",H189)),1,0)))</f>
        <v>105</v>
      </c>
      <c r="M189" s="12">
        <f>计价规则!$B$4+计价规则!$B$5*IF(H189="",0,LEN(H189)-LEN(SUBSTITUTE(H189,"、",""))+1)</f>
        <v>110</v>
      </c>
      <c r="N189" s="12"/>
      <c r="O189" s="12">
        <f>计价规则!$B$6</f>
        <v>100</v>
      </c>
      <c r="P189" s="12">
        <f>计价规则!$B$6</f>
        <v>100</v>
      </c>
      <c r="Q189" s="12">
        <f>计价规则!$B$6</f>
        <v>100</v>
      </c>
      <c r="R189" s="12">
        <f>计价规则!$B$7</f>
        <v>400</v>
      </c>
      <c r="S189" s="8" t="s">
        <v>26</v>
      </c>
      <c r="T189" s="13">
        <v>188</v>
      </c>
    </row>
    <row r="190" ht="26" customHeight="1" spans="1:20">
      <c r="A190" s="8">
        <f t="shared" si="2"/>
        <v>189</v>
      </c>
      <c r="B190" s="8" t="s">
        <v>289</v>
      </c>
      <c r="C190" s="9" t="s">
        <v>569</v>
      </c>
      <c r="D190" s="10" t="s">
        <v>570</v>
      </c>
      <c r="E190" s="11" t="s">
        <v>23</v>
      </c>
      <c r="F190" s="11"/>
      <c r="G190" s="10" t="s">
        <v>24</v>
      </c>
      <c r="H190" s="10" t="s">
        <v>571</v>
      </c>
      <c r="I190" s="10"/>
      <c r="J190" s="10"/>
      <c r="K190" s="10"/>
      <c r="L190" s="12">
        <f>计价规则!$B$2+计价规则!$B$3*MAX(0,IF(H190="",0,LEN(H190)-LEN(SUBSTITUTE(H190,"、",""))+1)-(IF(ISNUMBER(SEARCH("WiFi通信模块",H190)),1,0)+IF(ISNUMBER(SEARCH("ESP8266 WiFi模块",H190)),1,0)+IF(ISNUMBER(SEARCH("NRF24L01无线通信模块",H190)),1,0)+IF(ISNUMBER(SEARCH("蓝牙模块",H190)),1,0)+IF(ISNUMBER(SEARCH("语音识别模块",H190)),1,0)+IF(ISNUMBER(SEARCH("语音播报模块",H190)),1,0)+IF(ISNUMBER(SEARCH("RFID模块",H190)),1,0)+IF(ISNUMBER(SEARCH("RFID读卡模块",H190)),1,0)+IF(ISNUMBER(SEARCH("GPS定位模块",H190)),1,0)+IF(ISNUMBER(SEARCH("GSM通信模块",H190)),1,0)+IF(ISNUMBER(SEARCH("摄像头模块",H190)),1,0)+IF(ISNUMBER(SEARCH("人脸识别模块",H190)),1,0)+IF(ISNUMBER(SEARCH("手势识别传感器",H190)),1,0)))</f>
        <v>120</v>
      </c>
      <c r="M190" s="12">
        <f>计价规则!$B$4+计价规则!$B$5*IF(H190="",0,LEN(H190)-LEN(SUBSTITUTE(H190,"、",""))+1)</f>
        <v>130</v>
      </c>
      <c r="N190" s="12"/>
      <c r="O190" s="12">
        <f>计价规则!$B$6</f>
        <v>100</v>
      </c>
      <c r="P190" s="12">
        <f>计价规则!$B$6</f>
        <v>100</v>
      </c>
      <c r="Q190" s="12">
        <f>计价规则!$B$6</f>
        <v>100</v>
      </c>
      <c r="R190" s="12">
        <f>计价规则!$B$7</f>
        <v>400</v>
      </c>
      <c r="S190" s="8" t="s">
        <v>26</v>
      </c>
      <c r="T190" s="13">
        <v>189</v>
      </c>
    </row>
    <row r="191" ht="26" customHeight="1" spans="1:20">
      <c r="A191" s="8">
        <f t="shared" si="2"/>
        <v>190</v>
      </c>
      <c r="B191" s="8" t="s">
        <v>289</v>
      </c>
      <c r="C191" s="9" t="s">
        <v>572</v>
      </c>
      <c r="D191" s="10" t="s">
        <v>573</v>
      </c>
      <c r="E191" s="11" t="s">
        <v>23</v>
      </c>
      <c r="F191" s="11"/>
      <c r="G191" s="10" t="s">
        <v>81</v>
      </c>
      <c r="H191" s="10" t="s">
        <v>82</v>
      </c>
      <c r="I191" s="10"/>
      <c r="J191" s="10"/>
      <c r="K191" s="10"/>
      <c r="L191" s="12">
        <f>计价规则!$B$2+计价规则!$B$3*MAX(0,IF(H191="",0,LEN(H191)-LEN(SUBSTITUTE(H191,"、",""))+1)-(IF(ISNUMBER(SEARCH("WiFi通信模块",H191)),1,0)+IF(ISNUMBER(SEARCH("ESP8266 WiFi模块",H191)),1,0)+IF(ISNUMBER(SEARCH("NRF24L01无线通信模块",H191)),1,0)+IF(ISNUMBER(SEARCH("蓝牙模块",H191)),1,0)+IF(ISNUMBER(SEARCH("语音识别模块",H191)),1,0)+IF(ISNUMBER(SEARCH("语音播报模块",H191)),1,0)+IF(ISNUMBER(SEARCH("RFID模块",H191)),1,0)+IF(ISNUMBER(SEARCH("RFID读卡模块",H191)),1,0)+IF(ISNUMBER(SEARCH("GPS定位模块",H191)),1,0)+IF(ISNUMBER(SEARCH("GSM通信模块",H191)),1,0)+IF(ISNUMBER(SEARCH("摄像头模块",H191)),1,0)+IF(ISNUMBER(SEARCH("人脸识别模块",H191)),1,0)+IF(ISNUMBER(SEARCH("手势识别传感器",H191)),1,0)))</f>
        <v>90</v>
      </c>
      <c r="M191" s="12">
        <f>计价规则!$B$4+计价规则!$B$5*IF(H191="",0,LEN(H191)-LEN(SUBSTITUTE(H191,"、",""))+1)</f>
        <v>90</v>
      </c>
      <c r="N191" s="12"/>
      <c r="O191" s="12">
        <f>计价规则!$B$6</f>
        <v>100</v>
      </c>
      <c r="P191" s="12">
        <f>计价规则!$B$6</f>
        <v>100</v>
      </c>
      <c r="Q191" s="12">
        <f>计价规则!$B$6</f>
        <v>100</v>
      </c>
      <c r="R191" s="12">
        <f>计价规则!$B$7</f>
        <v>400</v>
      </c>
      <c r="S191" s="8" t="s">
        <v>26</v>
      </c>
      <c r="T191" s="13">
        <v>190</v>
      </c>
    </row>
    <row r="192" ht="26" customHeight="1" spans="1:20">
      <c r="A192" s="8">
        <f t="shared" si="2"/>
        <v>191</v>
      </c>
      <c r="B192" s="8" t="s">
        <v>289</v>
      </c>
      <c r="C192" s="9" t="s">
        <v>574</v>
      </c>
      <c r="D192" s="10" t="s">
        <v>575</v>
      </c>
      <c r="E192" s="11" t="s">
        <v>23</v>
      </c>
      <c r="F192" s="11"/>
      <c r="G192" s="10" t="s">
        <v>24</v>
      </c>
      <c r="H192" s="10" t="s">
        <v>166</v>
      </c>
      <c r="I192" s="10"/>
      <c r="J192" s="10"/>
      <c r="K192" s="10"/>
      <c r="L192" s="12">
        <f>计价规则!$B$2+计价规则!$B$3*MAX(0,IF(H192="",0,LEN(H192)-LEN(SUBSTITUTE(H192,"、",""))+1)-(IF(ISNUMBER(SEARCH("WiFi通信模块",H192)),1,0)+IF(ISNUMBER(SEARCH("ESP8266 WiFi模块",H192)),1,0)+IF(ISNUMBER(SEARCH("NRF24L01无线通信模块",H192)),1,0)+IF(ISNUMBER(SEARCH("蓝牙模块",H192)),1,0)+IF(ISNUMBER(SEARCH("语音识别模块",H192)),1,0)+IF(ISNUMBER(SEARCH("语音播报模块",H192)),1,0)+IF(ISNUMBER(SEARCH("RFID模块",H192)),1,0)+IF(ISNUMBER(SEARCH("RFID读卡模块",H192)),1,0)+IF(ISNUMBER(SEARCH("GPS定位模块",H192)),1,0)+IF(ISNUMBER(SEARCH("GSM通信模块",H192)),1,0)+IF(ISNUMBER(SEARCH("摄像头模块",H192)),1,0)+IF(ISNUMBER(SEARCH("人脸识别模块",H192)),1,0)+IF(ISNUMBER(SEARCH("手势识别传感器",H192)),1,0)))</f>
        <v>90</v>
      </c>
      <c r="M192" s="12">
        <f>计价规则!$B$4+计价规则!$B$5*IF(H192="",0,LEN(H192)-LEN(SUBSTITUTE(H192,"、",""))+1)</f>
        <v>90</v>
      </c>
      <c r="N192" s="12"/>
      <c r="O192" s="12">
        <f>计价规则!$B$6</f>
        <v>100</v>
      </c>
      <c r="P192" s="12">
        <f>计价规则!$B$6</f>
        <v>100</v>
      </c>
      <c r="Q192" s="12">
        <f>计价规则!$B$6</f>
        <v>100</v>
      </c>
      <c r="R192" s="12">
        <f>计价规则!$B$7</f>
        <v>400</v>
      </c>
      <c r="S192" s="8" t="s">
        <v>26</v>
      </c>
      <c r="T192" s="13">
        <v>191</v>
      </c>
    </row>
    <row r="193" ht="26" customHeight="1" spans="1:20">
      <c r="A193" s="8">
        <f t="shared" si="2"/>
        <v>192</v>
      </c>
      <c r="B193" s="8" t="s">
        <v>289</v>
      </c>
      <c r="C193" s="9" t="s">
        <v>576</v>
      </c>
      <c r="D193" s="10" t="s">
        <v>577</v>
      </c>
      <c r="E193" s="11" t="s">
        <v>23</v>
      </c>
      <c r="F193" s="11"/>
      <c r="G193" s="10" t="s">
        <v>578</v>
      </c>
      <c r="H193" s="10" t="s">
        <v>579</v>
      </c>
      <c r="I193" s="10"/>
      <c r="J193" s="10"/>
      <c r="K193" s="10"/>
      <c r="L193" s="12">
        <f>计价规则!$B$2+计价规则!$B$3*MAX(0,IF(H193="",0,LEN(H193)-LEN(SUBSTITUTE(H193,"、",""))+1)-(IF(ISNUMBER(SEARCH("WiFi通信模块",H193)),1,0)+IF(ISNUMBER(SEARCH("ESP8266 WiFi模块",H193)),1,0)+IF(ISNUMBER(SEARCH("NRF24L01无线通信模块",H193)),1,0)+IF(ISNUMBER(SEARCH("蓝牙模块",H193)),1,0)+IF(ISNUMBER(SEARCH("语音识别模块",H193)),1,0)+IF(ISNUMBER(SEARCH("语音播报模块",H193)),1,0)+IF(ISNUMBER(SEARCH("RFID模块",H193)),1,0)+IF(ISNUMBER(SEARCH("RFID读卡模块",H193)),1,0)+IF(ISNUMBER(SEARCH("GPS定位模块",H193)),1,0)+IF(ISNUMBER(SEARCH("GSM通信模块",H193)),1,0)+IF(ISNUMBER(SEARCH("摄像头模块",H193)),1,0)+IF(ISNUMBER(SEARCH("人脸识别模块",H193)),1,0)+IF(ISNUMBER(SEARCH("手势识别传感器",H193)),1,0)))</f>
        <v>105</v>
      </c>
      <c r="M193" s="12">
        <f>计价规则!$B$4+计价规则!$B$5*IF(H193="",0,LEN(H193)-LEN(SUBSTITUTE(H193,"、",""))+1)</f>
        <v>110</v>
      </c>
      <c r="N193" s="12"/>
      <c r="O193" s="12">
        <f>计价规则!$B$6</f>
        <v>100</v>
      </c>
      <c r="P193" s="12">
        <f>计价规则!$B$6</f>
        <v>100</v>
      </c>
      <c r="Q193" s="12">
        <f>计价规则!$B$6</f>
        <v>100</v>
      </c>
      <c r="R193" s="12">
        <f>计价规则!$B$7</f>
        <v>400</v>
      </c>
      <c r="S193" s="8" t="s">
        <v>26</v>
      </c>
      <c r="T193" s="13">
        <v>192</v>
      </c>
    </row>
    <row r="194" ht="26" customHeight="1" spans="1:20">
      <c r="A194" s="8">
        <f t="shared" ref="A194:A257" si="3">IF(B194&lt;&gt;"",ROW()-1,"")</f>
        <v>193</v>
      </c>
      <c r="B194" s="8" t="s">
        <v>289</v>
      </c>
      <c r="C194" s="9" t="s">
        <v>580</v>
      </c>
      <c r="D194" s="10" t="s">
        <v>287</v>
      </c>
      <c r="E194" s="11" t="s">
        <v>23</v>
      </c>
      <c r="F194" s="11" t="s">
        <v>288</v>
      </c>
      <c r="G194" s="10" t="s">
        <v>69</v>
      </c>
      <c r="H194" s="10" t="s">
        <v>217</v>
      </c>
      <c r="I194" s="10"/>
      <c r="J194" s="10"/>
      <c r="K194" s="10"/>
      <c r="L194" s="12">
        <f>计价规则!$B$2+计价规则!$B$3*MAX(0,IF(H194="",0,LEN(H194)-LEN(SUBSTITUTE(H194,"、",""))+1)-(IF(ISNUMBER(SEARCH("WiFi通信模块",H194)),1,0)+IF(ISNUMBER(SEARCH("ESP8266 WiFi模块",H194)),1,0)+IF(ISNUMBER(SEARCH("NRF24L01无线通信模块",H194)),1,0)+IF(ISNUMBER(SEARCH("蓝牙模块",H194)),1,0)+IF(ISNUMBER(SEARCH("语音识别模块",H194)),1,0)+IF(ISNUMBER(SEARCH("语音播报模块",H194)),1,0)+IF(ISNUMBER(SEARCH("RFID模块",H194)),1,0)+IF(ISNUMBER(SEARCH("RFID读卡模块",H194)),1,0)+IF(ISNUMBER(SEARCH("GPS定位模块",H194)),1,0)+IF(ISNUMBER(SEARCH("GSM通信模块",H194)),1,0)+IF(ISNUMBER(SEARCH("摄像头模块",H194)),1,0)+IF(ISNUMBER(SEARCH("人脸识别模块",H194)),1,0)+IF(ISNUMBER(SEARCH("手势识别传感器",H194)),1,0)))</f>
        <v>105</v>
      </c>
      <c r="M194" s="12">
        <f>计价规则!$B$4+计价规则!$B$5*IF(H194="",0,LEN(H194)-LEN(SUBSTITUTE(H194,"、",""))+1)</f>
        <v>110</v>
      </c>
      <c r="N194" s="12"/>
      <c r="O194" s="12">
        <f>计价规则!$B$6</f>
        <v>100</v>
      </c>
      <c r="P194" s="12">
        <f>计价规则!$B$6</f>
        <v>100</v>
      </c>
      <c r="Q194" s="12">
        <f>计价规则!$B$6</f>
        <v>100</v>
      </c>
      <c r="R194" s="12">
        <f>计价规则!$B$7</f>
        <v>400</v>
      </c>
      <c r="S194" s="8" t="s">
        <v>26</v>
      </c>
      <c r="T194" s="13">
        <v>193</v>
      </c>
    </row>
    <row r="195" ht="26" customHeight="1" spans="1:20">
      <c r="A195" s="8">
        <f t="shared" si="3"/>
        <v>194</v>
      </c>
      <c r="B195" s="8" t="s">
        <v>289</v>
      </c>
      <c r="C195" s="9" t="s">
        <v>581</v>
      </c>
      <c r="D195" s="10" t="s">
        <v>582</v>
      </c>
      <c r="E195" s="11" t="s">
        <v>23</v>
      </c>
      <c r="F195" s="11"/>
      <c r="G195" s="10" t="s">
        <v>583</v>
      </c>
      <c r="H195" s="10" t="s">
        <v>584</v>
      </c>
      <c r="I195" s="10"/>
      <c r="J195" s="10"/>
      <c r="K195" s="10"/>
      <c r="L195" s="12">
        <f>计价规则!$B$2+计价规则!$B$3*MAX(0,IF(H195="",0,LEN(H195)-LEN(SUBSTITUTE(H195,"、",""))+1)-(IF(ISNUMBER(SEARCH("WiFi通信模块",H195)),1,0)+IF(ISNUMBER(SEARCH("ESP8266 WiFi模块",H195)),1,0)+IF(ISNUMBER(SEARCH("NRF24L01无线通信模块",H195)),1,0)+IF(ISNUMBER(SEARCH("蓝牙模块",H195)),1,0)+IF(ISNUMBER(SEARCH("语音识别模块",H195)),1,0)+IF(ISNUMBER(SEARCH("语音播报模块",H195)),1,0)+IF(ISNUMBER(SEARCH("RFID模块",H195)),1,0)+IF(ISNUMBER(SEARCH("RFID读卡模块",H195)),1,0)+IF(ISNUMBER(SEARCH("GPS定位模块",H195)),1,0)+IF(ISNUMBER(SEARCH("GSM通信模块",H195)),1,0)+IF(ISNUMBER(SEARCH("摄像头模块",H195)),1,0)+IF(ISNUMBER(SEARCH("人脸识别模块",H195)),1,0)+IF(ISNUMBER(SEARCH("手势识别传感器",H195)),1,0)))</f>
        <v>105</v>
      </c>
      <c r="M195" s="12">
        <f>计价规则!$B$4+计价规则!$B$5*IF(H195="",0,LEN(H195)-LEN(SUBSTITUTE(H195,"、",""))+1)</f>
        <v>110</v>
      </c>
      <c r="N195" s="12"/>
      <c r="O195" s="12">
        <f>计价规则!$B$6</f>
        <v>100</v>
      </c>
      <c r="P195" s="12">
        <f>计价规则!$B$6</f>
        <v>100</v>
      </c>
      <c r="Q195" s="12">
        <f>计价规则!$B$6</f>
        <v>100</v>
      </c>
      <c r="R195" s="12">
        <f>计价规则!$B$7</f>
        <v>400</v>
      </c>
      <c r="S195" s="8" t="s">
        <v>26</v>
      </c>
      <c r="T195" s="13">
        <v>194</v>
      </c>
    </row>
    <row r="196" ht="26" customHeight="1" spans="1:20">
      <c r="A196" s="8">
        <f t="shared" si="3"/>
        <v>195</v>
      </c>
      <c r="B196" s="8" t="s">
        <v>585</v>
      </c>
      <c r="C196" s="9" t="s">
        <v>586</v>
      </c>
      <c r="D196" s="10" t="s">
        <v>587</v>
      </c>
      <c r="E196" s="11" t="s">
        <v>23</v>
      </c>
      <c r="F196" s="11"/>
      <c r="G196" s="10" t="s">
        <v>588</v>
      </c>
      <c r="H196" s="10" t="s">
        <v>589</v>
      </c>
      <c r="I196" s="10"/>
      <c r="J196" s="10"/>
      <c r="K196" s="10"/>
      <c r="L196" s="12">
        <f>计价规则!$B$2+计价规则!$B$3*MAX(0,IF(H196="",0,LEN(H196)-LEN(SUBSTITUTE(H196,"、",""))+1)-(IF(ISNUMBER(SEARCH("WiFi通信模块",H196)),1,0)+IF(ISNUMBER(SEARCH("ESP8266 WiFi模块",H196)),1,0)+IF(ISNUMBER(SEARCH("NRF24L01无线通信模块",H196)),1,0)+IF(ISNUMBER(SEARCH("蓝牙模块",H196)),1,0)+IF(ISNUMBER(SEARCH("语音识别模块",H196)),1,0)+IF(ISNUMBER(SEARCH("语音播报模块",H196)),1,0)+IF(ISNUMBER(SEARCH("RFID模块",H196)),1,0)+IF(ISNUMBER(SEARCH("RFID读卡模块",H196)),1,0)+IF(ISNUMBER(SEARCH("GPS定位模块",H196)),1,0)+IF(ISNUMBER(SEARCH("GSM通信模块",H196)),1,0)+IF(ISNUMBER(SEARCH("摄像头模块",H196)),1,0)+IF(ISNUMBER(SEARCH("人脸识别模块",H196)),1,0)+IF(ISNUMBER(SEARCH("手势识别传感器",H196)),1,0)))</f>
        <v>105</v>
      </c>
      <c r="M196" s="12">
        <f>计价规则!$B$4+计价规则!$B$5*IF(H196="",0,LEN(H196)-LEN(SUBSTITUTE(H196,"、",""))+1)</f>
        <v>110</v>
      </c>
      <c r="N196" s="12"/>
      <c r="O196" s="12">
        <f>计价规则!$B$6</f>
        <v>100</v>
      </c>
      <c r="P196" s="12">
        <f>计价规则!$B$6</f>
        <v>100</v>
      </c>
      <c r="Q196" s="12">
        <f>计价规则!$B$6</f>
        <v>100</v>
      </c>
      <c r="R196" s="12">
        <f>计价规则!$B$7</f>
        <v>400</v>
      </c>
      <c r="S196" s="8" t="s">
        <v>26</v>
      </c>
      <c r="T196" s="13">
        <v>195</v>
      </c>
    </row>
    <row r="197" ht="26" customHeight="1" spans="1:20">
      <c r="A197" s="8">
        <f t="shared" si="3"/>
        <v>196</v>
      </c>
      <c r="B197" s="8" t="s">
        <v>585</v>
      </c>
      <c r="C197" s="9" t="s">
        <v>590</v>
      </c>
      <c r="D197" s="10" t="s">
        <v>591</v>
      </c>
      <c r="E197" s="11" t="s">
        <v>23</v>
      </c>
      <c r="F197" s="11"/>
      <c r="G197" s="10" t="s">
        <v>592</v>
      </c>
      <c r="H197" s="10" t="s">
        <v>593</v>
      </c>
      <c r="I197" s="10"/>
      <c r="J197" s="10"/>
      <c r="K197" s="10"/>
      <c r="L197" s="12">
        <f>计价规则!$B$2+计价规则!$B$3*MAX(0,IF(H197="",0,LEN(H197)-LEN(SUBSTITUTE(H197,"、",""))+1)-(IF(ISNUMBER(SEARCH("WiFi通信模块",H197)),1,0)+IF(ISNUMBER(SEARCH("ESP8266 WiFi模块",H197)),1,0)+IF(ISNUMBER(SEARCH("NRF24L01无线通信模块",H197)),1,0)+IF(ISNUMBER(SEARCH("蓝牙模块",H197)),1,0)+IF(ISNUMBER(SEARCH("语音识别模块",H197)),1,0)+IF(ISNUMBER(SEARCH("语音播报模块",H197)),1,0)+IF(ISNUMBER(SEARCH("RFID模块",H197)),1,0)+IF(ISNUMBER(SEARCH("RFID读卡模块",H197)),1,0)+IF(ISNUMBER(SEARCH("GPS定位模块",H197)),1,0)+IF(ISNUMBER(SEARCH("GSM通信模块",H197)),1,0)+IF(ISNUMBER(SEARCH("摄像头模块",H197)),1,0)+IF(ISNUMBER(SEARCH("人脸识别模块",H197)),1,0)+IF(ISNUMBER(SEARCH("手势识别传感器",H197)),1,0)))</f>
        <v>90</v>
      </c>
      <c r="M197" s="12">
        <f>计价规则!$B$4+计价规则!$B$5*IF(H197="",0,LEN(H197)-LEN(SUBSTITUTE(H197,"、",""))+1)</f>
        <v>90</v>
      </c>
      <c r="N197" s="12"/>
      <c r="O197" s="12">
        <f>计价规则!$B$6</f>
        <v>100</v>
      </c>
      <c r="P197" s="12">
        <f>计价规则!$B$6</f>
        <v>100</v>
      </c>
      <c r="Q197" s="12">
        <f>计价规则!$B$6</f>
        <v>100</v>
      </c>
      <c r="R197" s="12">
        <f>计价规则!$B$7</f>
        <v>400</v>
      </c>
      <c r="S197" s="8" t="s">
        <v>26</v>
      </c>
      <c r="T197" s="13">
        <v>196</v>
      </c>
    </row>
    <row r="198" ht="26" customHeight="1" spans="1:20">
      <c r="A198" s="8">
        <f t="shared" si="3"/>
        <v>197</v>
      </c>
      <c r="B198" s="8" t="s">
        <v>585</v>
      </c>
      <c r="C198" s="9" t="s">
        <v>594</v>
      </c>
      <c r="D198" s="10" t="s">
        <v>595</v>
      </c>
      <c r="E198" s="11" t="s">
        <v>23</v>
      </c>
      <c r="F198" s="11"/>
      <c r="G198" s="10" t="s">
        <v>54</v>
      </c>
      <c r="H198" s="10" t="s">
        <v>66</v>
      </c>
      <c r="I198" s="10"/>
      <c r="J198" s="10"/>
      <c r="K198" s="10"/>
      <c r="L198" s="12">
        <f>计价规则!$B$2+计价规则!$B$3*MAX(0,IF(H198="",0,LEN(H198)-LEN(SUBSTITUTE(H198,"、",""))+1)-(IF(ISNUMBER(SEARCH("WiFi通信模块",H198)),1,0)+IF(ISNUMBER(SEARCH("ESP8266 WiFi模块",H198)),1,0)+IF(ISNUMBER(SEARCH("NRF24L01无线通信模块",H198)),1,0)+IF(ISNUMBER(SEARCH("蓝牙模块",H198)),1,0)+IF(ISNUMBER(SEARCH("语音识别模块",H198)),1,0)+IF(ISNUMBER(SEARCH("语音播报模块",H198)),1,0)+IF(ISNUMBER(SEARCH("RFID模块",H198)),1,0)+IF(ISNUMBER(SEARCH("RFID读卡模块",H198)),1,0)+IF(ISNUMBER(SEARCH("GPS定位模块",H198)),1,0)+IF(ISNUMBER(SEARCH("GSM通信模块",H198)),1,0)+IF(ISNUMBER(SEARCH("摄像头模块",H198)),1,0)+IF(ISNUMBER(SEARCH("人脸识别模块",H198)),1,0)+IF(ISNUMBER(SEARCH("手势识别传感器",H198)),1,0)))</f>
        <v>90</v>
      </c>
      <c r="M198" s="12">
        <f>计价规则!$B$4+计价规则!$B$5*IF(H198="",0,LEN(H198)-LEN(SUBSTITUTE(H198,"、",""))+1)</f>
        <v>90</v>
      </c>
      <c r="N198" s="12"/>
      <c r="O198" s="12">
        <f>计价规则!$B$6</f>
        <v>100</v>
      </c>
      <c r="P198" s="12">
        <f>计价规则!$B$6</f>
        <v>100</v>
      </c>
      <c r="Q198" s="12">
        <f>计价规则!$B$6</f>
        <v>100</v>
      </c>
      <c r="R198" s="12">
        <f>计价规则!$B$7</f>
        <v>400</v>
      </c>
      <c r="S198" s="8" t="s">
        <v>26</v>
      </c>
      <c r="T198" s="13">
        <v>197</v>
      </c>
    </row>
    <row r="199" ht="26" customHeight="1" spans="1:20">
      <c r="A199" s="8">
        <f t="shared" si="3"/>
        <v>198</v>
      </c>
      <c r="B199" s="8" t="s">
        <v>585</v>
      </c>
      <c r="C199" s="9" t="s">
        <v>596</v>
      </c>
      <c r="D199" s="10" t="s">
        <v>597</v>
      </c>
      <c r="E199" s="11" t="s">
        <v>23</v>
      </c>
      <c r="F199" s="11"/>
      <c r="G199" s="10" t="s">
        <v>24</v>
      </c>
      <c r="H199" s="10" t="s">
        <v>427</v>
      </c>
      <c r="I199" s="10"/>
      <c r="J199" s="10"/>
      <c r="K199" s="10"/>
      <c r="L199" s="12">
        <f>计价规则!$B$2+计价规则!$B$3*MAX(0,IF(H199="",0,LEN(H199)-LEN(SUBSTITUTE(H199,"、",""))+1)-(IF(ISNUMBER(SEARCH("WiFi通信模块",H199)),1,0)+IF(ISNUMBER(SEARCH("ESP8266 WiFi模块",H199)),1,0)+IF(ISNUMBER(SEARCH("NRF24L01无线通信模块",H199)),1,0)+IF(ISNUMBER(SEARCH("蓝牙模块",H199)),1,0)+IF(ISNUMBER(SEARCH("语音识别模块",H199)),1,0)+IF(ISNUMBER(SEARCH("语音播报模块",H199)),1,0)+IF(ISNUMBER(SEARCH("RFID模块",H199)),1,0)+IF(ISNUMBER(SEARCH("RFID读卡模块",H199)),1,0)+IF(ISNUMBER(SEARCH("GPS定位模块",H199)),1,0)+IF(ISNUMBER(SEARCH("GSM通信模块",H199)),1,0)+IF(ISNUMBER(SEARCH("摄像头模块",H199)),1,0)+IF(ISNUMBER(SEARCH("人脸识别模块",H199)),1,0)+IF(ISNUMBER(SEARCH("手势识别传感器",H199)),1,0)))</f>
        <v>90</v>
      </c>
      <c r="M199" s="12">
        <f>计价规则!$B$4+计价规则!$B$5*IF(H199="",0,LEN(H199)-LEN(SUBSTITUTE(H199,"、",""))+1)</f>
        <v>90</v>
      </c>
      <c r="N199" s="12"/>
      <c r="O199" s="12">
        <f>计价规则!$B$6</f>
        <v>100</v>
      </c>
      <c r="P199" s="12">
        <f>计价规则!$B$6</f>
        <v>100</v>
      </c>
      <c r="Q199" s="12">
        <f>计价规则!$B$6</f>
        <v>100</v>
      </c>
      <c r="R199" s="12">
        <f>计价规则!$B$7</f>
        <v>400</v>
      </c>
      <c r="S199" s="8" t="s">
        <v>26</v>
      </c>
      <c r="T199" s="13">
        <v>198</v>
      </c>
    </row>
    <row r="200" ht="26" customHeight="1" spans="1:20">
      <c r="A200" s="8">
        <f t="shared" si="3"/>
        <v>199</v>
      </c>
      <c r="B200" s="8" t="s">
        <v>585</v>
      </c>
      <c r="C200" s="9" t="s">
        <v>598</v>
      </c>
      <c r="D200" s="10" t="s">
        <v>599</v>
      </c>
      <c r="E200" s="11" t="s">
        <v>23</v>
      </c>
      <c r="F200" s="11"/>
      <c r="G200" s="10" t="s">
        <v>54</v>
      </c>
      <c r="H200" s="10" t="s">
        <v>600</v>
      </c>
      <c r="I200" s="10"/>
      <c r="J200" s="10"/>
      <c r="K200" s="10"/>
      <c r="L200" s="12">
        <f>计价规则!$B$2+计价规则!$B$3*MAX(0,IF(H200="",0,LEN(H200)-LEN(SUBSTITUTE(H200,"、",""))+1)-(IF(ISNUMBER(SEARCH("WiFi通信模块",H200)),1,0)+IF(ISNUMBER(SEARCH("ESP8266 WiFi模块",H200)),1,0)+IF(ISNUMBER(SEARCH("NRF24L01无线通信模块",H200)),1,0)+IF(ISNUMBER(SEARCH("蓝牙模块",H200)),1,0)+IF(ISNUMBER(SEARCH("语音识别模块",H200)),1,0)+IF(ISNUMBER(SEARCH("语音播报模块",H200)),1,0)+IF(ISNUMBER(SEARCH("RFID模块",H200)),1,0)+IF(ISNUMBER(SEARCH("RFID读卡模块",H200)),1,0)+IF(ISNUMBER(SEARCH("GPS定位模块",H200)),1,0)+IF(ISNUMBER(SEARCH("GSM通信模块",H200)),1,0)+IF(ISNUMBER(SEARCH("摄像头模块",H200)),1,0)+IF(ISNUMBER(SEARCH("人脸识别模块",H200)),1,0)+IF(ISNUMBER(SEARCH("手势识别传感器",H200)),1,0)))</f>
        <v>105</v>
      </c>
      <c r="M200" s="12">
        <f>计价规则!$B$4+计价规则!$B$5*IF(H200="",0,LEN(H200)-LEN(SUBSTITUTE(H200,"、",""))+1)</f>
        <v>110</v>
      </c>
      <c r="N200" s="12"/>
      <c r="O200" s="12">
        <f>计价规则!$B$6</f>
        <v>100</v>
      </c>
      <c r="P200" s="12">
        <f>计价规则!$B$6</f>
        <v>100</v>
      </c>
      <c r="Q200" s="12">
        <f>计价规则!$B$6</f>
        <v>100</v>
      </c>
      <c r="R200" s="12">
        <f>计价规则!$B$7</f>
        <v>400</v>
      </c>
      <c r="S200" s="8" t="s">
        <v>26</v>
      </c>
      <c r="T200" s="13">
        <v>199</v>
      </c>
    </row>
    <row r="201" ht="26" customHeight="1" spans="1:20">
      <c r="A201" s="8">
        <f t="shared" si="3"/>
        <v>200</v>
      </c>
      <c r="B201" s="8" t="s">
        <v>585</v>
      </c>
      <c r="C201" s="9" t="s">
        <v>601</v>
      </c>
      <c r="D201" s="10" t="s">
        <v>602</v>
      </c>
      <c r="E201" s="11" t="s">
        <v>23</v>
      </c>
      <c r="F201" s="11"/>
      <c r="G201" s="10" t="s">
        <v>54</v>
      </c>
      <c r="H201" s="10" t="s">
        <v>603</v>
      </c>
      <c r="I201" s="10"/>
      <c r="J201" s="10"/>
      <c r="K201" s="10"/>
      <c r="L201" s="12">
        <f>计价规则!$B$2+计价规则!$B$3*MAX(0,IF(H201="",0,LEN(H201)-LEN(SUBSTITUTE(H201,"、",""))+1)-(IF(ISNUMBER(SEARCH("WiFi通信模块",H201)),1,0)+IF(ISNUMBER(SEARCH("ESP8266 WiFi模块",H201)),1,0)+IF(ISNUMBER(SEARCH("NRF24L01无线通信模块",H201)),1,0)+IF(ISNUMBER(SEARCH("蓝牙模块",H201)),1,0)+IF(ISNUMBER(SEARCH("语音识别模块",H201)),1,0)+IF(ISNUMBER(SEARCH("语音播报模块",H201)),1,0)+IF(ISNUMBER(SEARCH("RFID模块",H201)),1,0)+IF(ISNUMBER(SEARCH("RFID读卡模块",H201)),1,0)+IF(ISNUMBER(SEARCH("GPS定位模块",H201)),1,0)+IF(ISNUMBER(SEARCH("GSM通信模块",H201)),1,0)+IF(ISNUMBER(SEARCH("摄像头模块",H201)),1,0)+IF(ISNUMBER(SEARCH("人脸识别模块",H201)),1,0)+IF(ISNUMBER(SEARCH("手势识别传感器",H201)),1,0)))</f>
        <v>90</v>
      </c>
      <c r="M201" s="12">
        <f>计价规则!$B$4+计价规则!$B$5*IF(H201="",0,LEN(H201)-LEN(SUBSTITUTE(H201,"、",""))+1)</f>
        <v>90</v>
      </c>
      <c r="N201" s="12"/>
      <c r="O201" s="12">
        <f>计价规则!$B$6</f>
        <v>100</v>
      </c>
      <c r="P201" s="12">
        <f>计价规则!$B$6</f>
        <v>100</v>
      </c>
      <c r="Q201" s="12">
        <f>计价规则!$B$6</f>
        <v>100</v>
      </c>
      <c r="R201" s="12">
        <f>计价规则!$B$7</f>
        <v>400</v>
      </c>
      <c r="S201" s="8" t="s">
        <v>26</v>
      </c>
      <c r="T201" s="13">
        <v>200</v>
      </c>
    </row>
    <row r="202" ht="26" customHeight="1" spans="1:20">
      <c r="A202" s="8">
        <f t="shared" si="3"/>
        <v>201</v>
      </c>
      <c r="B202" s="8" t="s">
        <v>585</v>
      </c>
      <c r="C202" s="9" t="s">
        <v>604</v>
      </c>
      <c r="D202" s="10" t="s">
        <v>605</v>
      </c>
      <c r="E202" s="11" t="s">
        <v>23</v>
      </c>
      <c r="F202" s="11"/>
      <c r="G202" s="10" t="s">
        <v>24</v>
      </c>
      <c r="H202" s="10" t="s">
        <v>606</v>
      </c>
      <c r="I202" s="10"/>
      <c r="J202" s="10"/>
      <c r="K202" s="10"/>
      <c r="L202" s="12">
        <f>计价规则!$B$2+计价规则!$B$3*MAX(0,IF(H202="",0,LEN(H202)-LEN(SUBSTITUTE(H202,"、",""))+1)-(IF(ISNUMBER(SEARCH("WiFi通信模块",H202)),1,0)+IF(ISNUMBER(SEARCH("ESP8266 WiFi模块",H202)),1,0)+IF(ISNUMBER(SEARCH("NRF24L01无线通信模块",H202)),1,0)+IF(ISNUMBER(SEARCH("蓝牙模块",H202)),1,0)+IF(ISNUMBER(SEARCH("语音识别模块",H202)),1,0)+IF(ISNUMBER(SEARCH("语音播报模块",H202)),1,0)+IF(ISNUMBER(SEARCH("RFID模块",H202)),1,0)+IF(ISNUMBER(SEARCH("RFID读卡模块",H202)),1,0)+IF(ISNUMBER(SEARCH("GPS定位模块",H202)),1,0)+IF(ISNUMBER(SEARCH("GSM通信模块",H202)),1,0)+IF(ISNUMBER(SEARCH("摄像头模块",H202)),1,0)+IF(ISNUMBER(SEARCH("人脸识别模块",H202)),1,0)+IF(ISNUMBER(SEARCH("手势识别传感器",H202)),1,0)))</f>
        <v>120</v>
      </c>
      <c r="M202" s="12">
        <f>计价规则!$B$4+计价规则!$B$5*IF(H202="",0,LEN(H202)-LEN(SUBSTITUTE(H202,"、",""))+1)</f>
        <v>130</v>
      </c>
      <c r="N202" s="12"/>
      <c r="O202" s="12">
        <f>计价规则!$B$6</f>
        <v>100</v>
      </c>
      <c r="P202" s="12">
        <f>计价规则!$B$6</f>
        <v>100</v>
      </c>
      <c r="Q202" s="12">
        <f>计价规则!$B$6</f>
        <v>100</v>
      </c>
      <c r="R202" s="12">
        <f>计价规则!$B$7</f>
        <v>400</v>
      </c>
      <c r="S202" s="8" t="s">
        <v>26</v>
      </c>
      <c r="T202" s="13">
        <v>201</v>
      </c>
    </row>
    <row r="203" ht="26" customHeight="1" spans="1:20">
      <c r="A203" s="8">
        <f t="shared" si="3"/>
        <v>202</v>
      </c>
      <c r="B203" s="8" t="s">
        <v>585</v>
      </c>
      <c r="C203" s="9" t="s">
        <v>607</v>
      </c>
      <c r="D203" s="10" t="s">
        <v>473</v>
      </c>
      <c r="E203" s="11" t="s">
        <v>23</v>
      </c>
      <c r="F203" s="11"/>
      <c r="G203" s="10" t="s">
        <v>474</v>
      </c>
      <c r="H203" s="10" t="s">
        <v>475</v>
      </c>
      <c r="I203" s="10"/>
      <c r="J203" s="10"/>
      <c r="K203" s="10"/>
      <c r="L203" s="12">
        <f>计价规则!$B$2+计价规则!$B$3*MAX(0,IF(H203="",0,LEN(H203)-LEN(SUBSTITUTE(H203,"、",""))+1)-(IF(ISNUMBER(SEARCH("WiFi通信模块",H203)),1,0)+IF(ISNUMBER(SEARCH("ESP8266 WiFi模块",H203)),1,0)+IF(ISNUMBER(SEARCH("NRF24L01无线通信模块",H203)),1,0)+IF(ISNUMBER(SEARCH("蓝牙模块",H203)),1,0)+IF(ISNUMBER(SEARCH("语音识别模块",H203)),1,0)+IF(ISNUMBER(SEARCH("语音播报模块",H203)),1,0)+IF(ISNUMBER(SEARCH("RFID模块",H203)),1,0)+IF(ISNUMBER(SEARCH("RFID读卡模块",H203)),1,0)+IF(ISNUMBER(SEARCH("GPS定位模块",H203)),1,0)+IF(ISNUMBER(SEARCH("GSM通信模块",H203)),1,0)+IF(ISNUMBER(SEARCH("摄像头模块",H203)),1,0)+IF(ISNUMBER(SEARCH("人脸识别模块",H203)),1,0)+IF(ISNUMBER(SEARCH("手势识别传感器",H203)),1,0)))</f>
        <v>105</v>
      </c>
      <c r="M203" s="12">
        <f>计价规则!$B$4+计价规则!$B$5*IF(H203="",0,LEN(H203)-LEN(SUBSTITUTE(H203,"、",""))+1)</f>
        <v>110</v>
      </c>
      <c r="N203" s="12"/>
      <c r="O203" s="12">
        <f>计价规则!$B$6</f>
        <v>100</v>
      </c>
      <c r="P203" s="12">
        <f>计价规则!$B$6</f>
        <v>100</v>
      </c>
      <c r="Q203" s="12">
        <f>计价规则!$B$6</f>
        <v>100</v>
      </c>
      <c r="R203" s="12">
        <f>计价规则!$B$7</f>
        <v>400</v>
      </c>
      <c r="S203" s="8" t="s">
        <v>26</v>
      </c>
      <c r="T203" s="13">
        <v>202</v>
      </c>
    </row>
    <row r="204" ht="26" customHeight="1" spans="1:20">
      <c r="A204" s="8">
        <f t="shared" si="3"/>
        <v>203</v>
      </c>
      <c r="B204" s="8" t="s">
        <v>585</v>
      </c>
      <c r="C204" s="9" t="s">
        <v>608</v>
      </c>
      <c r="D204" s="10" t="s">
        <v>609</v>
      </c>
      <c r="E204" s="11" t="s">
        <v>23</v>
      </c>
      <c r="F204" s="11"/>
      <c r="G204" s="10" t="s">
        <v>54</v>
      </c>
      <c r="H204" s="10" t="s">
        <v>452</v>
      </c>
      <c r="I204" s="10"/>
      <c r="J204" s="10"/>
      <c r="K204" s="10"/>
      <c r="L204" s="12">
        <f>计价规则!$B$2+计价规则!$B$3*MAX(0,IF(H204="",0,LEN(H204)-LEN(SUBSTITUTE(H204,"、",""))+1)-(IF(ISNUMBER(SEARCH("WiFi通信模块",H204)),1,0)+IF(ISNUMBER(SEARCH("ESP8266 WiFi模块",H204)),1,0)+IF(ISNUMBER(SEARCH("NRF24L01无线通信模块",H204)),1,0)+IF(ISNUMBER(SEARCH("蓝牙模块",H204)),1,0)+IF(ISNUMBER(SEARCH("语音识别模块",H204)),1,0)+IF(ISNUMBER(SEARCH("语音播报模块",H204)),1,0)+IF(ISNUMBER(SEARCH("RFID模块",H204)),1,0)+IF(ISNUMBER(SEARCH("RFID读卡模块",H204)),1,0)+IF(ISNUMBER(SEARCH("GPS定位模块",H204)),1,0)+IF(ISNUMBER(SEARCH("GSM通信模块",H204)),1,0)+IF(ISNUMBER(SEARCH("摄像头模块",H204)),1,0)+IF(ISNUMBER(SEARCH("人脸识别模块",H204)),1,0)+IF(ISNUMBER(SEARCH("手势识别传感器",H204)),1,0)))</f>
        <v>90</v>
      </c>
      <c r="M204" s="12">
        <f>计价规则!$B$4+计价规则!$B$5*IF(H204="",0,LEN(H204)-LEN(SUBSTITUTE(H204,"、",""))+1)</f>
        <v>90</v>
      </c>
      <c r="N204" s="12"/>
      <c r="O204" s="12">
        <f>计价规则!$B$6</f>
        <v>100</v>
      </c>
      <c r="P204" s="12">
        <f>计价规则!$B$6</f>
        <v>100</v>
      </c>
      <c r="Q204" s="12">
        <f>计价规则!$B$6</f>
        <v>100</v>
      </c>
      <c r="R204" s="12">
        <f>计价规则!$B$7</f>
        <v>400</v>
      </c>
      <c r="S204" s="8" t="s">
        <v>26</v>
      </c>
      <c r="T204" s="13">
        <v>203</v>
      </c>
    </row>
    <row r="205" ht="26" customHeight="1" spans="1:20">
      <c r="A205" s="8">
        <f t="shared" si="3"/>
        <v>204</v>
      </c>
      <c r="B205" s="8" t="s">
        <v>585</v>
      </c>
      <c r="C205" s="9" t="s">
        <v>610</v>
      </c>
      <c r="D205" s="10" t="s">
        <v>611</v>
      </c>
      <c r="E205" s="11" t="s">
        <v>23</v>
      </c>
      <c r="F205" s="11"/>
      <c r="G205" s="10" t="s">
        <v>54</v>
      </c>
      <c r="H205" s="10" t="s">
        <v>612</v>
      </c>
      <c r="I205" s="10"/>
      <c r="J205" s="10"/>
      <c r="K205" s="10"/>
      <c r="L205" s="12">
        <f>计价规则!$B$2+计价规则!$B$3*MAX(0,IF(H205="",0,LEN(H205)-LEN(SUBSTITUTE(H205,"、",""))+1)-(IF(ISNUMBER(SEARCH("WiFi通信模块",H205)),1,0)+IF(ISNUMBER(SEARCH("ESP8266 WiFi模块",H205)),1,0)+IF(ISNUMBER(SEARCH("NRF24L01无线通信模块",H205)),1,0)+IF(ISNUMBER(SEARCH("蓝牙模块",H205)),1,0)+IF(ISNUMBER(SEARCH("语音识别模块",H205)),1,0)+IF(ISNUMBER(SEARCH("语音播报模块",H205)),1,0)+IF(ISNUMBER(SEARCH("RFID模块",H205)),1,0)+IF(ISNUMBER(SEARCH("RFID读卡模块",H205)),1,0)+IF(ISNUMBER(SEARCH("GPS定位模块",H205)),1,0)+IF(ISNUMBER(SEARCH("GSM通信模块",H205)),1,0)+IF(ISNUMBER(SEARCH("摄像头模块",H205)),1,0)+IF(ISNUMBER(SEARCH("人脸识别模块",H205)),1,0)+IF(ISNUMBER(SEARCH("手势识别传感器",H205)),1,0)))</f>
        <v>105</v>
      </c>
      <c r="M205" s="12">
        <f>计价规则!$B$4+计价规则!$B$5*IF(H205="",0,LEN(H205)-LEN(SUBSTITUTE(H205,"、",""))+1)</f>
        <v>110</v>
      </c>
      <c r="N205" s="12"/>
      <c r="O205" s="12">
        <f>计价规则!$B$6</f>
        <v>100</v>
      </c>
      <c r="P205" s="12">
        <f>计价规则!$B$6</f>
        <v>100</v>
      </c>
      <c r="Q205" s="12">
        <f>计价规则!$B$6</f>
        <v>100</v>
      </c>
      <c r="R205" s="12">
        <f>计价规则!$B$7</f>
        <v>400</v>
      </c>
      <c r="S205" s="8" t="s">
        <v>26</v>
      </c>
      <c r="T205" s="13">
        <v>204</v>
      </c>
    </row>
    <row r="206" ht="26" customHeight="1" spans="1:20">
      <c r="A206" s="8">
        <f t="shared" si="3"/>
        <v>205</v>
      </c>
      <c r="B206" s="8" t="s">
        <v>585</v>
      </c>
      <c r="C206" s="9" t="s">
        <v>613</v>
      </c>
      <c r="D206" s="10" t="s">
        <v>614</v>
      </c>
      <c r="E206" s="11" t="s">
        <v>23</v>
      </c>
      <c r="F206" s="11"/>
      <c r="G206" s="10" t="s">
        <v>138</v>
      </c>
      <c r="H206" s="10" t="s">
        <v>615</v>
      </c>
      <c r="I206" s="10"/>
      <c r="J206" s="10"/>
      <c r="K206" s="10"/>
      <c r="L206" s="12">
        <f>计价规则!$B$2+计价规则!$B$3*MAX(0,IF(H206="",0,LEN(H206)-LEN(SUBSTITUTE(H206,"、",""))+1)-(IF(ISNUMBER(SEARCH("WiFi通信模块",H206)),1,0)+IF(ISNUMBER(SEARCH("ESP8266 WiFi模块",H206)),1,0)+IF(ISNUMBER(SEARCH("NRF24L01无线通信模块",H206)),1,0)+IF(ISNUMBER(SEARCH("蓝牙模块",H206)),1,0)+IF(ISNUMBER(SEARCH("语音识别模块",H206)),1,0)+IF(ISNUMBER(SEARCH("语音播报模块",H206)),1,0)+IF(ISNUMBER(SEARCH("RFID模块",H206)),1,0)+IF(ISNUMBER(SEARCH("RFID读卡模块",H206)),1,0)+IF(ISNUMBER(SEARCH("GPS定位模块",H206)),1,0)+IF(ISNUMBER(SEARCH("GSM通信模块",H206)),1,0)+IF(ISNUMBER(SEARCH("摄像头模块",H206)),1,0)+IF(ISNUMBER(SEARCH("人脸识别模块",H206)),1,0)+IF(ISNUMBER(SEARCH("手势识别传感器",H206)),1,0)))</f>
        <v>105</v>
      </c>
      <c r="M206" s="12">
        <f>计价规则!$B$4+计价规则!$B$5*IF(H206="",0,LEN(H206)-LEN(SUBSTITUTE(H206,"、",""))+1)</f>
        <v>110</v>
      </c>
      <c r="N206" s="12"/>
      <c r="O206" s="12">
        <f>计价规则!$B$6</f>
        <v>100</v>
      </c>
      <c r="P206" s="12">
        <f>计价规则!$B$6</f>
        <v>100</v>
      </c>
      <c r="Q206" s="12">
        <f>计价规则!$B$6</f>
        <v>100</v>
      </c>
      <c r="R206" s="12">
        <f>计价规则!$B$7</f>
        <v>400</v>
      </c>
      <c r="S206" s="8" t="s">
        <v>26</v>
      </c>
      <c r="T206" s="13">
        <v>205</v>
      </c>
    </row>
    <row r="207" ht="26" customHeight="1" spans="1:20">
      <c r="A207" s="8">
        <f t="shared" si="3"/>
        <v>206</v>
      </c>
      <c r="B207" s="8" t="s">
        <v>585</v>
      </c>
      <c r="C207" s="9" t="s">
        <v>616</v>
      </c>
      <c r="D207" s="10" t="s">
        <v>617</v>
      </c>
      <c r="E207" s="11" t="s">
        <v>23</v>
      </c>
      <c r="F207" s="11"/>
      <c r="G207" s="10" t="s">
        <v>54</v>
      </c>
      <c r="H207" s="10" t="s">
        <v>198</v>
      </c>
      <c r="I207" s="10"/>
      <c r="J207" s="10"/>
      <c r="K207" s="10"/>
      <c r="L207" s="12">
        <f>计价规则!$B$2+计价规则!$B$3*MAX(0,IF(H207="",0,LEN(H207)-LEN(SUBSTITUTE(H207,"、",""))+1)-(IF(ISNUMBER(SEARCH("WiFi通信模块",H207)),1,0)+IF(ISNUMBER(SEARCH("ESP8266 WiFi模块",H207)),1,0)+IF(ISNUMBER(SEARCH("NRF24L01无线通信模块",H207)),1,0)+IF(ISNUMBER(SEARCH("蓝牙模块",H207)),1,0)+IF(ISNUMBER(SEARCH("语音识别模块",H207)),1,0)+IF(ISNUMBER(SEARCH("语音播报模块",H207)),1,0)+IF(ISNUMBER(SEARCH("RFID模块",H207)),1,0)+IF(ISNUMBER(SEARCH("RFID读卡模块",H207)),1,0)+IF(ISNUMBER(SEARCH("GPS定位模块",H207)),1,0)+IF(ISNUMBER(SEARCH("GSM通信模块",H207)),1,0)+IF(ISNUMBER(SEARCH("摄像头模块",H207)),1,0)+IF(ISNUMBER(SEARCH("人脸识别模块",H207)),1,0)+IF(ISNUMBER(SEARCH("手势识别传感器",H207)),1,0)))</f>
        <v>90</v>
      </c>
      <c r="M207" s="12">
        <f>计价规则!$B$4+计价规则!$B$5*IF(H207="",0,LEN(H207)-LEN(SUBSTITUTE(H207,"、",""))+1)</f>
        <v>90</v>
      </c>
      <c r="N207" s="12"/>
      <c r="O207" s="12">
        <f>计价规则!$B$6</f>
        <v>100</v>
      </c>
      <c r="P207" s="12">
        <f>计价规则!$B$6</f>
        <v>100</v>
      </c>
      <c r="Q207" s="12">
        <f>计价规则!$B$6</f>
        <v>100</v>
      </c>
      <c r="R207" s="12">
        <f>计价规则!$B$7</f>
        <v>400</v>
      </c>
      <c r="S207" s="8" t="s">
        <v>26</v>
      </c>
      <c r="T207" s="13">
        <v>206</v>
      </c>
    </row>
    <row r="208" ht="26" customHeight="1" spans="1:20">
      <c r="A208" s="8">
        <f t="shared" si="3"/>
        <v>207</v>
      </c>
      <c r="B208" s="8" t="s">
        <v>585</v>
      </c>
      <c r="C208" s="9" t="s">
        <v>618</v>
      </c>
      <c r="D208" s="10" t="s">
        <v>619</v>
      </c>
      <c r="E208" s="11" t="s">
        <v>23</v>
      </c>
      <c r="F208" s="11"/>
      <c r="G208" s="10" t="s">
        <v>24</v>
      </c>
      <c r="H208" s="10" t="s">
        <v>78</v>
      </c>
      <c r="I208" s="10"/>
      <c r="J208" s="10"/>
      <c r="K208" s="10"/>
      <c r="L208" s="12">
        <f>计价规则!$B$2+计价规则!$B$3*MAX(0,IF(H208="",0,LEN(H208)-LEN(SUBSTITUTE(H208,"、",""))+1)-(IF(ISNUMBER(SEARCH("WiFi通信模块",H208)),1,0)+IF(ISNUMBER(SEARCH("ESP8266 WiFi模块",H208)),1,0)+IF(ISNUMBER(SEARCH("NRF24L01无线通信模块",H208)),1,0)+IF(ISNUMBER(SEARCH("蓝牙模块",H208)),1,0)+IF(ISNUMBER(SEARCH("语音识别模块",H208)),1,0)+IF(ISNUMBER(SEARCH("语音播报模块",H208)),1,0)+IF(ISNUMBER(SEARCH("RFID模块",H208)),1,0)+IF(ISNUMBER(SEARCH("RFID读卡模块",H208)),1,0)+IF(ISNUMBER(SEARCH("GPS定位模块",H208)),1,0)+IF(ISNUMBER(SEARCH("GSM通信模块",H208)),1,0)+IF(ISNUMBER(SEARCH("摄像头模块",H208)),1,0)+IF(ISNUMBER(SEARCH("人脸识别模块",H208)),1,0)+IF(ISNUMBER(SEARCH("手势识别传感器",H208)),1,0)))</f>
        <v>105</v>
      </c>
      <c r="M208" s="12">
        <f>计价规则!$B$4+计价规则!$B$5*IF(H208="",0,LEN(H208)-LEN(SUBSTITUTE(H208,"、",""))+1)</f>
        <v>110</v>
      </c>
      <c r="N208" s="12"/>
      <c r="O208" s="12">
        <f>计价规则!$B$6</f>
        <v>100</v>
      </c>
      <c r="P208" s="12">
        <f>计价规则!$B$6</f>
        <v>100</v>
      </c>
      <c r="Q208" s="12">
        <f>计价规则!$B$6</f>
        <v>100</v>
      </c>
      <c r="R208" s="12">
        <f>计价规则!$B$7</f>
        <v>400</v>
      </c>
      <c r="S208" s="8" t="s">
        <v>26</v>
      </c>
      <c r="T208" s="13">
        <v>207</v>
      </c>
    </row>
    <row r="209" ht="26" customHeight="1" spans="1:20">
      <c r="A209" s="8">
        <f t="shared" si="3"/>
        <v>208</v>
      </c>
      <c r="B209" s="8" t="s">
        <v>585</v>
      </c>
      <c r="C209" s="9" t="s">
        <v>620</v>
      </c>
      <c r="D209" s="10" t="s">
        <v>621</v>
      </c>
      <c r="E209" s="11" t="s">
        <v>23</v>
      </c>
      <c r="F209" s="11"/>
      <c r="G209" s="10" t="s">
        <v>54</v>
      </c>
      <c r="H209" s="10" t="s">
        <v>170</v>
      </c>
      <c r="I209" s="10"/>
      <c r="J209" s="10"/>
      <c r="K209" s="10"/>
      <c r="L209" s="12">
        <f>计价规则!$B$2+计价规则!$B$3*MAX(0,IF(H209="",0,LEN(H209)-LEN(SUBSTITUTE(H209,"、",""))+1)-(IF(ISNUMBER(SEARCH("WiFi通信模块",H209)),1,0)+IF(ISNUMBER(SEARCH("ESP8266 WiFi模块",H209)),1,0)+IF(ISNUMBER(SEARCH("NRF24L01无线通信模块",H209)),1,0)+IF(ISNUMBER(SEARCH("蓝牙模块",H209)),1,0)+IF(ISNUMBER(SEARCH("语音识别模块",H209)),1,0)+IF(ISNUMBER(SEARCH("语音播报模块",H209)),1,0)+IF(ISNUMBER(SEARCH("RFID模块",H209)),1,0)+IF(ISNUMBER(SEARCH("RFID读卡模块",H209)),1,0)+IF(ISNUMBER(SEARCH("GPS定位模块",H209)),1,0)+IF(ISNUMBER(SEARCH("GSM通信模块",H209)),1,0)+IF(ISNUMBER(SEARCH("摄像头模块",H209)),1,0)+IF(ISNUMBER(SEARCH("人脸识别模块",H209)),1,0)+IF(ISNUMBER(SEARCH("手势识别传感器",H209)),1,0)))</f>
        <v>105</v>
      </c>
      <c r="M209" s="12">
        <f>计价规则!$B$4+计价规则!$B$5*IF(H209="",0,LEN(H209)-LEN(SUBSTITUTE(H209,"、",""))+1)</f>
        <v>110</v>
      </c>
      <c r="N209" s="12"/>
      <c r="O209" s="12">
        <f>计价规则!$B$6</f>
        <v>100</v>
      </c>
      <c r="P209" s="12">
        <f>计价规则!$B$6</f>
        <v>100</v>
      </c>
      <c r="Q209" s="12">
        <f>计价规则!$B$6</f>
        <v>100</v>
      </c>
      <c r="R209" s="12">
        <f>计价规则!$B$7</f>
        <v>400</v>
      </c>
      <c r="S209" s="8" t="s">
        <v>26</v>
      </c>
      <c r="T209" s="13">
        <v>208</v>
      </c>
    </row>
    <row r="210" ht="26" customHeight="1" spans="1:20">
      <c r="A210" s="8">
        <f t="shared" si="3"/>
        <v>209</v>
      </c>
      <c r="B210" s="8" t="s">
        <v>585</v>
      </c>
      <c r="C210" s="9" t="s">
        <v>622</v>
      </c>
      <c r="D210" s="10" t="s">
        <v>623</v>
      </c>
      <c r="E210" s="11" t="s">
        <v>23</v>
      </c>
      <c r="F210" s="11"/>
      <c r="G210" s="10" t="s">
        <v>588</v>
      </c>
      <c r="H210" s="10" t="s">
        <v>624</v>
      </c>
      <c r="I210" s="10"/>
      <c r="J210" s="10"/>
      <c r="K210" s="10"/>
      <c r="L210" s="12">
        <f>计价规则!$B$2+计价规则!$B$3*MAX(0,IF(H210="",0,LEN(H210)-LEN(SUBSTITUTE(H210,"、",""))+1)-(IF(ISNUMBER(SEARCH("WiFi通信模块",H210)),1,0)+IF(ISNUMBER(SEARCH("ESP8266 WiFi模块",H210)),1,0)+IF(ISNUMBER(SEARCH("NRF24L01无线通信模块",H210)),1,0)+IF(ISNUMBER(SEARCH("蓝牙模块",H210)),1,0)+IF(ISNUMBER(SEARCH("语音识别模块",H210)),1,0)+IF(ISNUMBER(SEARCH("语音播报模块",H210)),1,0)+IF(ISNUMBER(SEARCH("RFID模块",H210)),1,0)+IF(ISNUMBER(SEARCH("RFID读卡模块",H210)),1,0)+IF(ISNUMBER(SEARCH("GPS定位模块",H210)),1,0)+IF(ISNUMBER(SEARCH("GSM通信模块",H210)),1,0)+IF(ISNUMBER(SEARCH("摄像头模块",H210)),1,0)+IF(ISNUMBER(SEARCH("人脸识别模块",H210)),1,0)+IF(ISNUMBER(SEARCH("手势识别传感器",H210)),1,0)))</f>
        <v>105</v>
      </c>
      <c r="M210" s="12">
        <f>计价规则!$B$4+计价规则!$B$5*IF(H210="",0,LEN(H210)-LEN(SUBSTITUTE(H210,"、",""))+1)</f>
        <v>110</v>
      </c>
      <c r="N210" s="12"/>
      <c r="O210" s="12">
        <f>计价规则!$B$6</f>
        <v>100</v>
      </c>
      <c r="P210" s="12">
        <f>计价规则!$B$6</f>
        <v>100</v>
      </c>
      <c r="Q210" s="12">
        <f>计价规则!$B$6</f>
        <v>100</v>
      </c>
      <c r="R210" s="12">
        <f>计价规则!$B$7</f>
        <v>400</v>
      </c>
      <c r="S210" s="8" t="s">
        <v>26</v>
      </c>
      <c r="T210" s="13">
        <v>209</v>
      </c>
    </row>
    <row r="211" ht="26" customHeight="1" spans="1:20">
      <c r="A211" s="8">
        <f t="shared" si="3"/>
        <v>210</v>
      </c>
      <c r="B211" s="8" t="s">
        <v>585</v>
      </c>
      <c r="C211" s="9" t="s">
        <v>625</v>
      </c>
      <c r="D211" s="10" t="s">
        <v>626</v>
      </c>
      <c r="E211" s="11" t="s">
        <v>23</v>
      </c>
      <c r="F211" s="11"/>
      <c r="G211" s="10" t="s">
        <v>54</v>
      </c>
      <c r="H211" s="10" t="s">
        <v>627</v>
      </c>
      <c r="I211" s="10"/>
      <c r="J211" s="10"/>
      <c r="K211" s="10"/>
      <c r="L211" s="12">
        <f>计价规则!$B$2+计价规则!$B$3*MAX(0,IF(H211="",0,LEN(H211)-LEN(SUBSTITUTE(H211,"、",""))+1)-(IF(ISNUMBER(SEARCH("WiFi通信模块",H211)),1,0)+IF(ISNUMBER(SEARCH("ESP8266 WiFi模块",H211)),1,0)+IF(ISNUMBER(SEARCH("NRF24L01无线通信模块",H211)),1,0)+IF(ISNUMBER(SEARCH("蓝牙模块",H211)),1,0)+IF(ISNUMBER(SEARCH("语音识别模块",H211)),1,0)+IF(ISNUMBER(SEARCH("语音播报模块",H211)),1,0)+IF(ISNUMBER(SEARCH("RFID模块",H211)),1,0)+IF(ISNUMBER(SEARCH("RFID读卡模块",H211)),1,0)+IF(ISNUMBER(SEARCH("GPS定位模块",H211)),1,0)+IF(ISNUMBER(SEARCH("GSM通信模块",H211)),1,0)+IF(ISNUMBER(SEARCH("摄像头模块",H211)),1,0)+IF(ISNUMBER(SEARCH("人脸识别模块",H211)),1,0)+IF(ISNUMBER(SEARCH("手势识别传感器",H211)),1,0)))</f>
        <v>75</v>
      </c>
      <c r="M211" s="12">
        <f>计价规则!$B$4+计价规则!$B$5*IF(H211="",0,LEN(H211)-LEN(SUBSTITUTE(H211,"、",""))+1)</f>
        <v>70</v>
      </c>
      <c r="N211" s="12"/>
      <c r="O211" s="12">
        <f>计价规则!$B$6</f>
        <v>100</v>
      </c>
      <c r="P211" s="12">
        <f>计价规则!$B$6</f>
        <v>100</v>
      </c>
      <c r="Q211" s="12">
        <f>计价规则!$B$6</f>
        <v>100</v>
      </c>
      <c r="R211" s="12">
        <f>计价规则!$B$7</f>
        <v>400</v>
      </c>
      <c r="S211" s="8" t="s">
        <v>26</v>
      </c>
      <c r="T211" s="13">
        <v>210</v>
      </c>
    </row>
    <row r="212" ht="26" customHeight="1" spans="1:20">
      <c r="A212" s="8">
        <f t="shared" si="3"/>
        <v>211</v>
      </c>
      <c r="B212" s="8" t="s">
        <v>585</v>
      </c>
      <c r="C212" s="9" t="s">
        <v>628</v>
      </c>
      <c r="D212" s="10" t="s">
        <v>629</v>
      </c>
      <c r="E212" s="11" t="s">
        <v>23</v>
      </c>
      <c r="F212" s="11"/>
      <c r="G212" s="10" t="s">
        <v>24</v>
      </c>
      <c r="H212" s="10" t="s">
        <v>244</v>
      </c>
      <c r="I212" s="10"/>
      <c r="J212" s="10"/>
      <c r="K212" s="10"/>
      <c r="L212" s="12">
        <f>计价规则!$B$2+计价规则!$B$3*MAX(0,IF(H212="",0,LEN(H212)-LEN(SUBSTITUTE(H212,"、",""))+1)-(IF(ISNUMBER(SEARCH("WiFi通信模块",H212)),1,0)+IF(ISNUMBER(SEARCH("ESP8266 WiFi模块",H212)),1,0)+IF(ISNUMBER(SEARCH("NRF24L01无线通信模块",H212)),1,0)+IF(ISNUMBER(SEARCH("蓝牙模块",H212)),1,0)+IF(ISNUMBER(SEARCH("语音识别模块",H212)),1,0)+IF(ISNUMBER(SEARCH("语音播报模块",H212)),1,0)+IF(ISNUMBER(SEARCH("RFID模块",H212)),1,0)+IF(ISNUMBER(SEARCH("RFID读卡模块",H212)),1,0)+IF(ISNUMBER(SEARCH("GPS定位模块",H212)),1,0)+IF(ISNUMBER(SEARCH("GSM通信模块",H212)),1,0)+IF(ISNUMBER(SEARCH("摄像头模块",H212)),1,0)+IF(ISNUMBER(SEARCH("人脸识别模块",H212)),1,0)+IF(ISNUMBER(SEARCH("手势识别传感器",H212)),1,0)))</f>
        <v>90</v>
      </c>
      <c r="M212" s="12">
        <f>计价规则!$B$4+计价规则!$B$5*IF(H212="",0,LEN(H212)-LEN(SUBSTITUTE(H212,"、",""))+1)</f>
        <v>90</v>
      </c>
      <c r="N212" s="12"/>
      <c r="O212" s="12">
        <f>计价规则!$B$6</f>
        <v>100</v>
      </c>
      <c r="P212" s="12">
        <f>计价规则!$B$6</f>
        <v>100</v>
      </c>
      <c r="Q212" s="12">
        <f>计价规则!$B$6</f>
        <v>100</v>
      </c>
      <c r="R212" s="12">
        <f>计价规则!$B$7</f>
        <v>400</v>
      </c>
      <c r="S212" s="8" t="s">
        <v>26</v>
      </c>
      <c r="T212" s="13">
        <v>211</v>
      </c>
    </row>
    <row r="213" ht="26" customHeight="1" spans="1:20">
      <c r="A213" s="8">
        <f t="shared" si="3"/>
        <v>212</v>
      </c>
      <c r="B213" s="8" t="s">
        <v>585</v>
      </c>
      <c r="C213" s="9" t="s">
        <v>630</v>
      </c>
      <c r="D213" s="10" t="s">
        <v>438</v>
      </c>
      <c r="E213" s="11" t="s">
        <v>23</v>
      </c>
      <c r="F213" s="11"/>
      <c r="G213" s="10" t="s">
        <v>24</v>
      </c>
      <c r="H213" s="10" t="s">
        <v>94</v>
      </c>
      <c r="I213" s="10"/>
      <c r="J213" s="10"/>
      <c r="K213" s="10"/>
      <c r="L213" s="12">
        <f>计价规则!$B$2+计价规则!$B$3*MAX(0,IF(H213="",0,LEN(H213)-LEN(SUBSTITUTE(H213,"、",""))+1)-(IF(ISNUMBER(SEARCH("WiFi通信模块",H213)),1,0)+IF(ISNUMBER(SEARCH("ESP8266 WiFi模块",H213)),1,0)+IF(ISNUMBER(SEARCH("NRF24L01无线通信模块",H213)),1,0)+IF(ISNUMBER(SEARCH("蓝牙模块",H213)),1,0)+IF(ISNUMBER(SEARCH("语音识别模块",H213)),1,0)+IF(ISNUMBER(SEARCH("语音播报模块",H213)),1,0)+IF(ISNUMBER(SEARCH("RFID模块",H213)),1,0)+IF(ISNUMBER(SEARCH("RFID读卡模块",H213)),1,0)+IF(ISNUMBER(SEARCH("GPS定位模块",H213)),1,0)+IF(ISNUMBER(SEARCH("GSM通信模块",H213)),1,0)+IF(ISNUMBER(SEARCH("摄像头模块",H213)),1,0)+IF(ISNUMBER(SEARCH("人脸识别模块",H213)),1,0)+IF(ISNUMBER(SEARCH("手势识别传感器",H213)),1,0)))</f>
        <v>105</v>
      </c>
      <c r="M213" s="12">
        <f>计价规则!$B$4+计价规则!$B$5*IF(H213="",0,LEN(H213)-LEN(SUBSTITUTE(H213,"、",""))+1)</f>
        <v>110</v>
      </c>
      <c r="N213" s="12"/>
      <c r="O213" s="12">
        <f>计价规则!$B$6</f>
        <v>100</v>
      </c>
      <c r="P213" s="12">
        <f>计价规则!$B$6</f>
        <v>100</v>
      </c>
      <c r="Q213" s="12">
        <f>计价规则!$B$6</f>
        <v>100</v>
      </c>
      <c r="R213" s="12">
        <f>计价规则!$B$7</f>
        <v>400</v>
      </c>
      <c r="S213" s="8" t="s">
        <v>26</v>
      </c>
      <c r="T213" s="13">
        <v>212</v>
      </c>
    </row>
    <row r="214" ht="26" customHeight="1" spans="1:20">
      <c r="A214" s="8">
        <f t="shared" si="3"/>
        <v>213</v>
      </c>
      <c r="B214" s="8" t="s">
        <v>585</v>
      </c>
      <c r="C214" s="9" t="s">
        <v>631</v>
      </c>
      <c r="D214" s="10" t="s">
        <v>632</v>
      </c>
      <c r="E214" s="11" t="s">
        <v>23</v>
      </c>
      <c r="F214" s="11"/>
      <c r="G214" s="10" t="s">
        <v>24</v>
      </c>
      <c r="H214" s="10" t="s">
        <v>606</v>
      </c>
      <c r="I214" s="10"/>
      <c r="J214" s="10"/>
      <c r="K214" s="10"/>
      <c r="L214" s="12">
        <f>计价规则!$B$2+计价规则!$B$3*MAX(0,IF(H214="",0,LEN(H214)-LEN(SUBSTITUTE(H214,"、",""))+1)-(IF(ISNUMBER(SEARCH("WiFi通信模块",H214)),1,0)+IF(ISNUMBER(SEARCH("ESP8266 WiFi模块",H214)),1,0)+IF(ISNUMBER(SEARCH("NRF24L01无线通信模块",H214)),1,0)+IF(ISNUMBER(SEARCH("蓝牙模块",H214)),1,0)+IF(ISNUMBER(SEARCH("语音识别模块",H214)),1,0)+IF(ISNUMBER(SEARCH("语音播报模块",H214)),1,0)+IF(ISNUMBER(SEARCH("RFID模块",H214)),1,0)+IF(ISNUMBER(SEARCH("RFID读卡模块",H214)),1,0)+IF(ISNUMBER(SEARCH("GPS定位模块",H214)),1,0)+IF(ISNUMBER(SEARCH("GSM通信模块",H214)),1,0)+IF(ISNUMBER(SEARCH("摄像头模块",H214)),1,0)+IF(ISNUMBER(SEARCH("人脸识别模块",H214)),1,0)+IF(ISNUMBER(SEARCH("手势识别传感器",H214)),1,0)))</f>
        <v>120</v>
      </c>
      <c r="M214" s="12">
        <f>计价规则!$B$4+计价规则!$B$5*IF(H214="",0,LEN(H214)-LEN(SUBSTITUTE(H214,"、",""))+1)</f>
        <v>130</v>
      </c>
      <c r="N214" s="12"/>
      <c r="O214" s="12">
        <f>计价规则!$B$6</f>
        <v>100</v>
      </c>
      <c r="P214" s="12">
        <f>计价规则!$B$6</f>
        <v>100</v>
      </c>
      <c r="Q214" s="12">
        <f>计价规则!$B$6</f>
        <v>100</v>
      </c>
      <c r="R214" s="12">
        <f>计价规则!$B$7</f>
        <v>400</v>
      </c>
      <c r="S214" s="8" t="s">
        <v>26</v>
      </c>
      <c r="T214" s="13">
        <v>213</v>
      </c>
    </row>
    <row r="215" ht="26" customHeight="1" spans="1:20">
      <c r="A215" s="8">
        <f t="shared" si="3"/>
        <v>214</v>
      </c>
      <c r="B215" s="8" t="s">
        <v>585</v>
      </c>
      <c r="C215" s="9" t="s">
        <v>633</v>
      </c>
      <c r="D215" s="10" t="s">
        <v>634</v>
      </c>
      <c r="E215" s="11" t="s">
        <v>23</v>
      </c>
      <c r="F215" s="11"/>
      <c r="G215" s="10" t="s">
        <v>635</v>
      </c>
      <c r="H215" s="10" t="s">
        <v>636</v>
      </c>
      <c r="I215" s="10"/>
      <c r="J215" s="10"/>
      <c r="K215" s="10"/>
      <c r="L215" s="12">
        <f>计价规则!$B$2+计价规则!$B$3*MAX(0,IF(H215="",0,LEN(H215)-LEN(SUBSTITUTE(H215,"、",""))+1)-(IF(ISNUMBER(SEARCH("WiFi通信模块",H215)),1,0)+IF(ISNUMBER(SEARCH("ESP8266 WiFi模块",H215)),1,0)+IF(ISNUMBER(SEARCH("NRF24L01无线通信模块",H215)),1,0)+IF(ISNUMBER(SEARCH("蓝牙模块",H215)),1,0)+IF(ISNUMBER(SEARCH("语音识别模块",H215)),1,0)+IF(ISNUMBER(SEARCH("语音播报模块",H215)),1,0)+IF(ISNUMBER(SEARCH("RFID模块",H215)),1,0)+IF(ISNUMBER(SEARCH("RFID读卡模块",H215)),1,0)+IF(ISNUMBER(SEARCH("GPS定位模块",H215)),1,0)+IF(ISNUMBER(SEARCH("GSM通信模块",H215)),1,0)+IF(ISNUMBER(SEARCH("摄像头模块",H215)),1,0)+IF(ISNUMBER(SEARCH("人脸识别模块",H215)),1,0)+IF(ISNUMBER(SEARCH("手势识别传感器",H215)),1,0)))</f>
        <v>105</v>
      </c>
      <c r="M215" s="12">
        <f>计价规则!$B$4+计价规则!$B$5*IF(H215="",0,LEN(H215)-LEN(SUBSTITUTE(H215,"、",""))+1)</f>
        <v>110</v>
      </c>
      <c r="N215" s="12"/>
      <c r="O215" s="12">
        <f>计价规则!$B$6</f>
        <v>100</v>
      </c>
      <c r="P215" s="12">
        <f>计价规则!$B$6</f>
        <v>100</v>
      </c>
      <c r="Q215" s="12">
        <f>计价规则!$B$6</f>
        <v>100</v>
      </c>
      <c r="R215" s="12">
        <f>计价规则!$B$7</f>
        <v>400</v>
      </c>
      <c r="S215" s="8" t="s">
        <v>26</v>
      </c>
      <c r="T215" s="13">
        <v>214</v>
      </c>
    </row>
    <row r="216" ht="26" customHeight="1" spans="1:20">
      <c r="A216" s="8">
        <f t="shared" si="3"/>
        <v>215</v>
      </c>
      <c r="B216" s="8" t="s">
        <v>585</v>
      </c>
      <c r="C216" s="9" t="s">
        <v>637</v>
      </c>
      <c r="D216" s="10" t="s">
        <v>638</v>
      </c>
      <c r="E216" s="11" t="s">
        <v>23</v>
      </c>
      <c r="F216" s="11"/>
      <c r="G216" s="10" t="s">
        <v>54</v>
      </c>
      <c r="H216" s="10" t="s">
        <v>603</v>
      </c>
      <c r="I216" s="10"/>
      <c r="J216" s="10"/>
      <c r="K216" s="10"/>
      <c r="L216" s="12">
        <f>计价规则!$B$2+计价规则!$B$3*MAX(0,IF(H216="",0,LEN(H216)-LEN(SUBSTITUTE(H216,"、",""))+1)-(IF(ISNUMBER(SEARCH("WiFi通信模块",H216)),1,0)+IF(ISNUMBER(SEARCH("ESP8266 WiFi模块",H216)),1,0)+IF(ISNUMBER(SEARCH("NRF24L01无线通信模块",H216)),1,0)+IF(ISNUMBER(SEARCH("蓝牙模块",H216)),1,0)+IF(ISNUMBER(SEARCH("语音识别模块",H216)),1,0)+IF(ISNUMBER(SEARCH("语音播报模块",H216)),1,0)+IF(ISNUMBER(SEARCH("RFID模块",H216)),1,0)+IF(ISNUMBER(SEARCH("RFID读卡模块",H216)),1,0)+IF(ISNUMBER(SEARCH("GPS定位模块",H216)),1,0)+IF(ISNUMBER(SEARCH("GSM通信模块",H216)),1,0)+IF(ISNUMBER(SEARCH("摄像头模块",H216)),1,0)+IF(ISNUMBER(SEARCH("人脸识别模块",H216)),1,0)+IF(ISNUMBER(SEARCH("手势识别传感器",H216)),1,0)))</f>
        <v>90</v>
      </c>
      <c r="M216" s="12">
        <f>计价规则!$B$4+计价规则!$B$5*IF(H216="",0,LEN(H216)-LEN(SUBSTITUTE(H216,"、",""))+1)</f>
        <v>90</v>
      </c>
      <c r="N216" s="12"/>
      <c r="O216" s="12">
        <f>计价规则!$B$6</f>
        <v>100</v>
      </c>
      <c r="P216" s="12">
        <f>计价规则!$B$6</f>
        <v>100</v>
      </c>
      <c r="Q216" s="12">
        <f>计价规则!$B$6</f>
        <v>100</v>
      </c>
      <c r="R216" s="12">
        <f>计价规则!$B$7</f>
        <v>400</v>
      </c>
      <c r="S216" s="8" t="s">
        <v>26</v>
      </c>
      <c r="T216" s="13">
        <v>215</v>
      </c>
    </row>
    <row r="217" ht="26" customHeight="1" spans="1:20">
      <c r="A217" s="8">
        <f t="shared" si="3"/>
        <v>216</v>
      </c>
      <c r="B217" s="8" t="s">
        <v>585</v>
      </c>
      <c r="C217" s="9" t="s">
        <v>639</v>
      </c>
      <c r="D217" s="10" t="s">
        <v>640</v>
      </c>
      <c r="E217" s="11" t="s">
        <v>23</v>
      </c>
      <c r="F217" s="11"/>
      <c r="G217" s="10" t="s">
        <v>54</v>
      </c>
      <c r="H217" s="10" t="s">
        <v>66</v>
      </c>
      <c r="I217" s="10"/>
      <c r="J217" s="10"/>
      <c r="K217" s="10"/>
      <c r="L217" s="12">
        <f>计价规则!$B$2+计价规则!$B$3*MAX(0,IF(H217="",0,LEN(H217)-LEN(SUBSTITUTE(H217,"、",""))+1)-(IF(ISNUMBER(SEARCH("WiFi通信模块",H217)),1,0)+IF(ISNUMBER(SEARCH("ESP8266 WiFi模块",H217)),1,0)+IF(ISNUMBER(SEARCH("NRF24L01无线通信模块",H217)),1,0)+IF(ISNUMBER(SEARCH("蓝牙模块",H217)),1,0)+IF(ISNUMBER(SEARCH("语音识别模块",H217)),1,0)+IF(ISNUMBER(SEARCH("语音播报模块",H217)),1,0)+IF(ISNUMBER(SEARCH("RFID模块",H217)),1,0)+IF(ISNUMBER(SEARCH("RFID读卡模块",H217)),1,0)+IF(ISNUMBER(SEARCH("GPS定位模块",H217)),1,0)+IF(ISNUMBER(SEARCH("GSM通信模块",H217)),1,0)+IF(ISNUMBER(SEARCH("摄像头模块",H217)),1,0)+IF(ISNUMBER(SEARCH("人脸识别模块",H217)),1,0)+IF(ISNUMBER(SEARCH("手势识别传感器",H217)),1,0)))</f>
        <v>90</v>
      </c>
      <c r="M217" s="12">
        <f>计价规则!$B$4+计价规则!$B$5*IF(H217="",0,LEN(H217)-LEN(SUBSTITUTE(H217,"、",""))+1)</f>
        <v>90</v>
      </c>
      <c r="N217" s="12"/>
      <c r="O217" s="12">
        <f>计价规则!$B$6</f>
        <v>100</v>
      </c>
      <c r="P217" s="12">
        <f>计价规则!$B$6</f>
        <v>100</v>
      </c>
      <c r="Q217" s="12">
        <f>计价规则!$B$6</f>
        <v>100</v>
      </c>
      <c r="R217" s="12">
        <f>计价规则!$B$7</f>
        <v>400</v>
      </c>
      <c r="S217" s="8" t="s">
        <v>26</v>
      </c>
      <c r="T217" s="13">
        <v>216</v>
      </c>
    </row>
    <row r="218" ht="26" customHeight="1" spans="1:20">
      <c r="A218" s="8">
        <f t="shared" si="3"/>
        <v>217</v>
      </c>
      <c r="B218" s="8" t="s">
        <v>585</v>
      </c>
      <c r="C218" s="9" t="s">
        <v>641</v>
      </c>
      <c r="D218" s="10" t="s">
        <v>642</v>
      </c>
      <c r="E218" s="11" t="s">
        <v>23</v>
      </c>
      <c r="F218" s="11"/>
      <c r="G218" s="10" t="s">
        <v>24</v>
      </c>
      <c r="H218" s="10" t="s">
        <v>643</v>
      </c>
      <c r="I218" s="10"/>
      <c r="J218" s="10"/>
      <c r="K218" s="10"/>
      <c r="L218" s="12">
        <f>计价规则!$B$2+计价规则!$B$3*MAX(0,IF(H218="",0,LEN(H218)-LEN(SUBSTITUTE(H218,"、",""))+1)-(IF(ISNUMBER(SEARCH("WiFi通信模块",H218)),1,0)+IF(ISNUMBER(SEARCH("ESP8266 WiFi模块",H218)),1,0)+IF(ISNUMBER(SEARCH("NRF24L01无线通信模块",H218)),1,0)+IF(ISNUMBER(SEARCH("蓝牙模块",H218)),1,0)+IF(ISNUMBER(SEARCH("语音识别模块",H218)),1,0)+IF(ISNUMBER(SEARCH("语音播报模块",H218)),1,0)+IF(ISNUMBER(SEARCH("RFID模块",H218)),1,0)+IF(ISNUMBER(SEARCH("RFID读卡模块",H218)),1,0)+IF(ISNUMBER(SEARCH("GPS定位模块",H218)),1,0)+IF(ISNUMBER(SEARCH("GSM通信模块",H218)),1,0)+IF(ISNUMBER(SEARCH("摄像头模块",H218)),1,0)+IF(ISNUMBER(SEARCH("人脸识别模块",H218)),1,0)+IF(ISNUMBER(SEARCH("手势识别传感器",H218)),1,0)))</f>
        <v>105</v>
      </c>
      <c r="M218" s="12">
        <f>计价规则!$B$4+计价规则!$B$5*IF(H218="",0,LEN(H218)-LEN(SUBSTITUTE(H218,"、",""))+1)</f>
        <v>110</v>
      </c>
      <c r="N218" s="12"/>
      <c r="O218" s="12">
        <f>计价规则!$B$6</f>
        <v>100</v>
      </c>
      <c r="P218" s="12">
        <f>计价规则!$B$6</f>
        <v>100</v>
      </c>
      <c r="Q218" s="12">
        <f>计价规则!$B$6</f>
        <v>100</v>
      </c>
      <c r="R218" s="12">
        <f>计价规则!$B$7</f>
        <v>400</v>
      </c>
      <c r="S218" s="8" t="s">
        <v>26</v>
      </c>
      <c r="T218" s="13">
        <v>217</v>
      </c>
    </row>
    <row r="219" ht="26" customHeight="1" spans="1:20">
      <c r="A219" s="8">
        <f t="shared" si="3"/>
        <v>218</v>
      </c>
      <c r="B219" s="8" t="s">
        <v>585</v>
      </c>
      <c r="C219" s="9" t="s">
        <v>644</v>
      </c>
      <c r="D219" s="10" t="s">
        <v>645</v>
      </c>
      <c r="E219" s="11" t="s">
        <v>23</v>
      </c>
      <c r="F219" s="11"/>
      <c r="G219" s="10" t="s">
        <v>24</v>
      </c>
      <c r="H219" s="10" t="s">
        <v>25</v>
      </c>
      <c r="I219" s="10"/>
      <c r="J219" s="10"/>
      <c r="K219" s="10"/>
      <c r="L219" s="12">
        <f>计价规则!$B$2+计价规则!$B$3*MAX(0,IF(H219="",0,LEN(H219)-LEN(SUBSTITUTE(H219,"、",""))+1)-(IF(ISNUMBER(SEARCH("WiFi通信模块",H219)),1,0)+IF(ISNUMBER(SEARCH("ESP8266 WiFi模块",H219)),1,0)+IF(ISNUMBER(SEARCH("NRF24L01无线通信模块",H219)),1,0)+IF(ISNUMBER(SEARCH("蓝牙模块",H219)),1,0)+IF(ISNUMBER(SEARCH("语音识别模块",H219)),1,0)+IF(ISNUMBER(SEARCH("语音播报模块",H219)),1,0)+IF(ISNUMBER(SEARCH("RFID模块",H219)),1,0)+IF(ISNUMBER(SEARCH("RFID读卡模块",H219)),1,0)+IF(ISNUMBER(SEARCH("GPS定位模块",H219)),1,0)+IF(ISNUMBER(SEARCH("GSM通信模块",H219)),1,0)+IF(ISNUMBER(SEARCH("摄像头模块",H219)),1,0)+IF(ISNUMBER(SEARCH("人脸识别模块",H219)),1,0)+IF(ISNUMBER(SEARCH("手势识别传感器",H219)),1,0)))</f>
        <v>90</v>
      </c>
      <c r="M219" s="12">
        <f>计价规则!$B$4+计价规则!$B$5*IF(H219="",0,LEN(H219)-LEN(SUBSTITUTE(H219,"、",""))+1)</f>
        <v>90</v>
      </c>
      <c r="N219" s="12"/>
      <c r="O219" s="12">
        <f>计价规则!$B$6</f>
        <v>100</v>
      </c>
      <c r="P219" s="12">
        <f>计价规则!$B$6</f>
        <v>100</v>
      </c>
      <c r="Q219" s="12">
        <f>计价规则!$B$6</f>
        <v>100</v>
      </c>
      <c r="R219" s="12">
        <f>计价规则!$B$7</f>
        <v>400</v>
      </c>
      <c r="S219" s="8" t="s">
        <v>26</v>
      </c>
      <c r="T219" s="13">
        <v>218</v>
      </c>
    </row>
    <row r="220" ht="26" customHeight="1" spans="1:20">
      <c r="A220" s="8">
        <f t="shared" si="3"/>
        <v>219</v>
      </c>
      <c r="B220" s="8" t="s">
        <v>585</v>
      </c>
      <c r="C220" s="9" t="s">
        <v>646</v>
      </c>
      <c r="D220" s="10" t="s">
        <v>647</v>
      </c>
      <c r="E220" s="11" t="s">
        <v>23</v>
      </c>
      <c r="F220" s="11"/>
      <c r="G220" s="10" t="s">
        <v>54</v>
      </c>
      <c r="H220" s="10" t="s">
        <v>648</v>
      </c>
      <c r="I220" s="10"/>
      <c r="J220" s="10"/>
      <c r="K220" s="10"/>
      <c r="L220" s="12">
        <f>计价规则!$B$2+计价规则!$B$3*MAX(0,IF(H220="",0,LEN(H220)-LEN(SUBSTITUTE(H220,"、",""))+1)-(IF(ISNUMBER(SEARCH("WiFi通信模块",H220)),1,0)+IF(ISNUMBER(SEARCH("ESP8266 WiFi模块",H220)),1,0)+IF(ISNUMBER(SEARCH("NRF24L01无线通信模块",H220)),1,0)+IF(ISNUMBER(SEARCH("蓝牙模块",H220)),1,0)+IF(ISNUMBER(SEARCH("语音识别模块",H220)),1,0)+IF(ISNUMBER(SEARCH("语音播报模块",H220)),1,0)+IF(ISNUMBER(SEARCH("RFID模块",H220)),1,0)+IF(ISNUMBER(SEARCH("RFID读卡模块",H220)),1,0)+IF(ISNUMBER(SEARCH("GPS定位模块",H220)),1,0)+IF(ISNUMBER(SEARCH("GSM通信模块",H220)),1,0)+IF(ISNUMBER(SEARCH("摄像头模块",H220)),1,0)+IF(ISNUMBER(SEARCH("人脸识别模块",H220)),1,0)+IF(ISNUMBER(SEARCH("手势识别传感器",H220)),1,0)))</f>
        <v>75</v>
      </c>
      <c r="M220" s="12">
        <f>计价规则!$B$4+计价规则!$B$5*IF(H220="",0,LEN(H220)-LEN(SUBSTITUTE(H220,"、",""))+1)</f>
        <v>70</v>
      </c>
      <c r="N220" s="12"/>
      <c r="O220" s="12">
        <f>计价规则!$B$6</f>
        <v>100</v>
      </c>
      <c r="P220" s="12">
        <f>计价规则!$B$6</f>
        <v>100</v>
      </c>
      <c r="Q220" s="12">
        <f>计价规则!$B$6</f>
        <v>100</v>
      </c>
      <c r="R220" s="12">
        <f>计价规则!$B$7</f>
        <v>400</v>
      </c>
      <c r="S220" s="8" t="s">
        <v>26</v>
      </c>
      <c r="T220" s="13">
        <v>219</v>
      </c>
    </row>
    <row r="221" ht="26" customHeight="1" spans="1:20">
      <c r="A221" s="8">
        <f t="shared" si="3"/>
        <v>220</v>
      </c>
      <c r="B221" s="8" t="s">
        <v>585</v>
      </c>
      <c r="C221" s="9" t="s">
        <v>649</v>
      </c>
      <c r="D221" s="10" t="s">
        <v>650</v>
      </c>
      <c r="E221" s="11" t="s">
        <v>23</v>
      </c>
      <c r="F221" s="11"/>
      <c r="G221" s="10" t="s">
        <v>54</v>
      </c>
      <c r="H221" s="10" t="s">
        <v>627</v>
      </c>
      <c r="I221" s="10"/>
      <c r="J221" s="10"/>
      <c r="K221" s="10"/>
      <c r="L221" s="12">
        <f>计价规则!$B$2+计价规则!$B$3*MAX(0,IF(H221="",0,LEN(H221)-LEN(SUBSTITUTE(H221,"、",""))+1)-(IF(ISNUMBER(SEARCH("WiFi通信模块",H221)),1,0)+IF(ISNUMBER(SEARCH("ESP8266 WiFi模块",H221)),1,0)+IF(ISNUMBER(SEARCH("NRF24L01无线通信模块",H221)),1,0)+IF(ISNUMBER(SEARCH("蓝牙模块",H221)),1,0)+IF(ISNUMBER(SEARCH("语音识别模块",H221)),1,0)+IF(ISNUMBER(SEARCH("语音播报模块",H221)),1,0)+IF(ISNUMBER(SEARCH("RFID模块",H221)),1,0)+IF(ISNUMBER(SEARCH("RFID读卡模块",H221)),1,0)+IF(ISNUMBER(SEARCH("GPS定位模块",H221)),1,0)+IF(ISNUMBER(SEARCH("GSM通信模块",H221)),1,0)+IF(ISNUMBER(SEARCH("摄像头模块",H221)),1,0)+IF(ISNUMBER(SEARCH("人脸识别模块",H221)),1,0)+IF(ISNUMBER(SEARCH("手势识别传感器",H221)),1,0)))</f>
        <v>75</v>
      </c>
      <c r="M221" s="12">
        <f>计价规则!$B$4+计价规则!$B$5*IF(H221="",0,LEN(H221)-LEN(SUBSTITUTE(H221,"、",""))+1)</f>
        <v>70</v>
      </c>
      <c r="N221" s="12"/>
      <c r="O221" s="12">
        <f>计价规则!$B$6</f>
        <v>100</v>
      </c>
      <c r="P221" s="12">
        <f>计价规则!$B$6</f>
        <v>100</v>
      </c>
      <c r="Q221" s="12">
        <f>计价规则!$B$6</f>
        <v>100</v>
      </c>
      <c r="R221" s="12">
        <f>计价规则!$B$7</f>
        <v>400</v>
      </c>
      <c r="S221" s="8" t="s">
        <v>26</v>
      </c>
      <c r="T221" s="13">
        <v>220</v>
      </c>
    </row>
    <row r="222" ht="26" customHeight="1" spans="1:20">
      <c r="A222" s="8">
        <f t="shared" si="3"/>
        <v>221</v>
      </c>
      <c r="B222" s="8" t="s">
        <v>585</v>
      </c>
      <c r="C222" s="9" t="s">
        <v>651</v>
      </c>
      <c r="D222" s="10" t="s">
        <v>652</v>
      </c>
      <c r="E222" s="11" t="s">
        <v>23</v>
      </c>
      <c r="F222" s="11"/>
      <c r="G222" s="10" t="s">
        <v>54</v>
      </c>
      <c r="H222" s="10" t="s">
        <v>55</v>
      </c>
      <c r="I222" s="10"/>
      <c r="J222" s="10"/>
      <c r="K222" s="10"/>
      <c r="L222" s="12">
        <f>计价规则!$B$2+计价规则!$B$3*MAX(0,IF(H222="",0,LEN(H222)-LEN(SUBSTITUTE(H222,"、",""))+1)-(IF(ISNUMBER(SEARCH("WiFi通信模块",H222)),1,0)+IF(ISNUMBER(SEARCH("ESP8266 WiFi模块",H222)),1,0)+IF(ISNUMBER(SEARCH("NRF24L01无线通信模块",H222)),1,0)+IF(ISNUMBER(SEARCH("蓝牙模块",H222)),1,0)+IF(ISNUMBER(SEARCH("语音识别模块",H222)),1,0)+IF(ISNUMBER(SEARCH("语音播报模块",H222)),1,0)+IF(ISNUMBER(SEARCH("RFID模块",H222)),1,0)+IF(ISNUMBER(SEARCH("RFID读卡模块",H222)),1,0)+IF(ISNUMBER(SEARCH("GPS定位模块",H222)),1,0)+IF(ISNUMBER(SEARCH("GSM通信模块",H222)),1,0)+IF(ISNUMBER(SEARCH("摄像头模块",H222)),1,0)+IF(ISNUMBER(SEARCH("人脸识别模块",H222)),1,0)+IF(ISNUMBER(SEARCH("手势识别传感器",H222)),1,0)))</f>
        <v>90</v>
      </c>
      <c r="M222" s="12">
        <f>计价规则!$B$4+计价规则!$B$5*IF(H222="",0,LEN(H222)-LEN(SUBSTITUTE(H222,"、",""))+1)</f>
        <v>90</v>
      </c>
      <c r="N222" s="12"/>
      <c r="O222" s="12">
        <f>计价规则!$B$6</f>
        <v>100</v>
      </c>
      <c r="P222" s="12">
        <f>计价规则!$B$6</f>
        <v>100</v>
      </c>
      <c r="Q222" s="12">
        <f>计价规则!$B$6</f>
        <v>100</v>
      </c>
      <c r="R222" s="12">
        <f>计价规则!$B$7</f>
        <v>400</v>
      </c>
      <c r="S222" s="8" t="s">
        <v>26</v>
      </c>
      <c r="T222" s="13">
        <v>221</v>
      </c>
    </row>
    <row r="223" ht="26" customHeight="1" spans="1:20">
      <c r="A223" s="8">
        <f t="shared" si="3"/>
        <v>222</v>
      </c>
      <c r="B223" s="8" t="s">
        <v>585</v>
      </c>
      <c r="C223" s="9" t="s">
        <v>653</v>
      </c>
      <c r="D223" s="10" t="s">
        <v>654</v>
      </c>
      <c r="E223" s="11" t="s">
        <v>23</v>
      </c>
      <c r="F223" s="11"/>
      <c r="G223" s="10" t="s">
        <v>54</v>
      </c>
      <c r="H223" s="10" t="s">
        <v>66</v>
      </c>
      <c r="I223" s="10"/>
      <c r="J223" s="10"/>
      <c r="K223" s="10"/>
      <c r="L223" s="12">
        <f>计价规则!$B$2+计价规则!$B$3*MAX(0,IF(H223="",0,LEN(H223)-LEN(SUBSTITUTE(H223,"、",""))+1)-(IF(ISNUMBER(SEARCH("WiFi通信模块",H223)),1,0)+IF(ISNUMBER(SEARCH("ESP8266 WiFi模块",H223)),1,0)+IF(ISNUMBER(SEARCH("NRF24L01无线通信模块",H223)),1,0)+IF(ISNUMBER(SEARCH("蓝牙模块",H223)),1,0)+IF(ISNUMBER(SEARCH("语音识别模块",H223)),1,0)+IF(ISNUMBER(SEARCH("语音播报模块",H223)),1,0)+IF(ISNUMBER(SEARCH("RFID模块",H223)),1,0)+IF(ISNUMBER(SEARCH("RFID读卡模块",H223)),1,0)+IF(ISNUMBER(SEARCH("GPS定位模块",H223)),1,0)+IF(ISNUMBER(SEARCH("GSM通信模块",H223)),1,0)+IF(ISNUMBER(SEARCH("摄像头模块",H223)),1,0)+IF(ISNUMBER(SEARCH("人脸识别模块",H223)),1,0)+IF(ISNUMBER(SEARCH("手势识别传感器",H223)),1,0)))</f>
        <v>90</v>
      </c>
      <c r="M223" s="12">
        <f>计价规则!$B$4+计价规则!$B$5*IF(H223="",0,LEN(H223)-LEN(SUBSTITUTE(H223,"、",""))+1)</f>
        <v>90</v>
      </c>
      <c r="N223" s="12"/>
      <c r="O223" s="12">
        <f>计价规则!$B$6</f>
        <v>100</v>
      </c>
      <c r="P223" s="12">
        <f>计价规则!$B$6</f>
        <v>100</v>
      </c>
      <c r="Q223" s="12">
        <f>计价规则!$B$6</f>
        <v>100</v>
      </c>
      <c r="R223" s="12">
        <f>计价规则!$B$7</f>
        <v>400</v>
      </c>
      <c r="S223" s="8" t="s">
        <v>26</v>
      </c>
      <c r="T223" s="13">
        <v>222</v>
      </c>
    </row>
    <row r="224" ht="26" customHeight="1" spans="1:20">
      <c r="A224" s="8">
        <f t="shared" si="3"/>
        <v>223</v>
      </c>
      <c r="B224" s="8" t="s">
        <v>585</v>
      </c>
      <c r="C224" s="9" t="s">
        <v>655</v>
      </c>
      <c r="D224" s="10" t="s">
        <v>656</v>
      </c>
      <c r="E224" s="11" t="s">
        <v>23</v>
      </c>
      <c r="F224" s="11"/>
      <c r="G224" s="10" t="s">
        <v>114</v>
      </c>
      <c r="H224" s="10" t="s">
        <v>657</v>
      </c>
      <c r="I224" s="10"/>
      <c r="J224" s="10"/>
      <c r="K224" s="10"/>
      <c r="L224" s="12">
        <f>计价规则!$B$2+计价规则!$B$3*MAX(0,IF(H224="",0,LEN(H224)-LEN(SUBSTITUTE(H224,"、",""))+1)-(IF(ISNUMBER(SEARCH("WiFi通信模块",H224)),1,0)+IF(ISNUMBER(SEARCH("ESP8266 WiFi模块",H224)),1,0)+IF(ISNUMBER(SEARCH("NRF24L01无线通信模块",H224)),1,0)+IF(ISNUMBER(SEARCH("蓝牙模块",H224)),1,0)+IF(ISNUMBER(SEARCH("语音识别模块",H224)),1,0)+IF(ISNUMBER(SEARCH("语音播报模块",H224)),1,0)+IF(ISNUMBER(SEARCH("RFID模块",H224)),1,0)+IF(ISNUMBER(SEARCH("RFID读卡模块",H224)),1,0)+IF(ISNUMBER(SEARCH("GPS定位模块",H224)),1,0)+IF(ISNUMBER(SEARCH("GSM通信模块",H224)),1,0)+IF(ISNUMBER(SEARCH("摄像头模块",H224)),1,0)+IF(ISNUMBER(SEARCH("人脸识别模块",H224)),1,0)+IF(ISNUMBER(SEARCH("手势识别传感器",H224)),1,0)))</f>
        <v>90</v>
      </c>
      <c r="M224" s="12">
        <f>计价规则!$B$4+计价规则!$B$5*IF(H224="",0,LEN(H224)-LEN(SUBSTITUTE(H224,"、",""))+1)</f>
        <v>90</v>
      </c>
      <c r="N224" s="12"/>
      <c r="O224" s="12">
        <f>计价规则!$B$6</f>
        <v>100</v>
      </c>
      <c r="P224" s="12">
        <f>计价规则!$B$6</f>
        <v>100</v>
      </c>
      <c r="Q224" s="12">
        <f>计价规则!$B$6</f>
        <v>100</v>
      </c>
      <c r="R224" s="12">
        <f>计价规则!$B$7</f>
        <v>400</v>
      </c>
      <c r="S224" s="8" t="s">
        <v>26</v>
      </c>
      <c r="T224" s="13">
        <v>223</v>
      </c>
    </row>
    <row r="225" ht="26" customHeight="1" spans="1:20">
      <c r="A225" s="8">
        <f t="shared" si="3"/>
        <v>224</v>
      </c>
      <c r="B225" s="8" t="s">
        <v>585</v>
      </c>
      <c r="C225" s="9" t="s">
        <v>658</v>
      </c>
      <c r="D225" s="10" t="s">
        <v>659</v>
      </c>
      <c r="E225" s="11" t="s">
        <v>23</v>
      </c>
      <c r="F225" s="11"/>
      <c r="G225" s="10" t="s">
        <v>414</v>
      </c>
      <c r="H225" s="10" t="s">
        <v>449</v>
      </c>
      <c r="I225" s="10"/>
      <c r="J225" s="10"/>
      <c r="K225" s="10"/>
      <c r="L225" s="12">
        <f>计价规则!$B$2+计价规则!$B$3*MAX(0,IF(H225="",0,LEN(H225)-LEN(SUBSTITUTE(H225,"、",""))+1)-(IF(ISNUMBER(SEARCH("WiFi通信模块",H225)),1,0)+IF(ISNUMBER(SEARCH("ESP8266 WiFi模块",H225)),1,0)+IF(ISNUMBER(SEARCH("NRF24L01无线通信模块",H225)),1,0)+IF(ISNUMBER(SEARCH("蓝牙模块",H225)),1,0)+IF(ISNUMBER(SEARCH("语音识别模块",H225)),1,0)+IF(ISNUMBER(SEARCH("语音播报模块",H225)),1,0)+IF(ISNUMBER(SEARCH("RFID模块",H225)),1,0)+IF(ISNUMBER(SEARCH("RFID读卡模块",H225)),1,0)+IF(ISNUMBER(SEARCH("GPS定位模块",H225)),1,0)+IF(ISNUMBER(SEARCH("GSM通信模块",H225)),1,0)+IF(ISNUMBER(SEARCH("摄像头模块",H225)),1,0)+IF(ISNUMBER(SEARCH("人脸识别模块",H225)),1,0)+IF(ISNUMBER(SEARCH("手势识别传感器",H225)),1,0)))</f>
        <v>105</v>
      </c>
      <c r="M225" s="12">
        <f>计价规则!$B$4+计价规则!$B$5*IF(H225="",0,LEN(H225)-LEN(SUBSTITUTE(H225,"、",""))+1)</f>
        <v>110</v>
      </c>
      <c r="N225" s="12"/>
      <c r="O225" s="12">
        <f>计价规则!$B$6</f>
        <v>100</v>
      </c>
      <c r="P225" s="12">
        <f>计价规则!$B$6</f>
        <v>100</v>
      </c>
      <c r="Q225" s="12">
        <f>计价规则!$B$6</f>
        <v>100</v>
      </c>
      <c r="R225" s="12">
        <f>计价规则!$B$7</f>
        <v>400</v>
      </c>
      <c r="S225" s="8" t="s">
        <v>26</v>
      </c>
      <c r="T225" s="13">
        <v>224</v>
      </c>
    </row>
    <row r="226" ht="26" customHeight="1" spans="1:20">
      <c r="A226" s="8">
        <f t="shared" si="3"/>
        <v>225</v>
      </c>
      <c r="B226" s="8" t="s">
        <v>585</v>
      </c>
      <c r="C226" s="9" t="s">
        <v>660</v>
      </c>
      <c r="D226" s="10" t="s">
        <v>661</v>
      </c>
      <c r="E226" s="11" t="s">
        <v>23</v>
      </c>
      <c r="F226" s="11"/>
      <c r="G226" s="10" t="s">
        <v>24</v>
      </c>
      <c r="H226" s="10" t="s">
        <v>606</v>
      </c>
      <c r="I226" s="10"/>
      <c r="J226" s="10"/>
      <c r="K226" s="10"/>
      <c r="L226" s="12">
        <f>计价规则!$B$2+计价规则!$B$3*MAX(0,IF(H226="",0,LEN(H226)-LEN(SUBSTITUTE(H226,"、",""))+1)-(IF(ISNUMBER(SEARCH("WiFi通信模块",H226)),1,0)+IF(ISNUMBER(SEARCH("ESP8266 WiFi模块",H226)),1,0)+IF(ISNUMBER(SEARCH("NRF24L01无线通信模块",H226)),1,0)+IF(ISNUMBER(SEARCH("蓝牙模块",H226)),1,0)+IF(ISNUMBER(SEARCH("语音识别模块",H226)),1,0)+IF(ISNUMBER(SEARCH("语音播报模块",H226)),1,0)+IF(ISNUMBER(SEARCH("RFID模块",H226)),1,0)+IF(ISNUMBER(SEARCH("RFID读卡模块",H226)),1,0)+IF(ISNUMBER(SEARCH("GPS定位模块",H226)),1,0)+IF(ISNUMBER(SEARCH("GSM通信模块",H226)),1,0)+IF(ISNUMBER(SEARCH("摄像头模块",H226)),1,0)+IF(ISNUMBER(SEARCH("人脸识别模块",H226)),1,0)+IF(ISNUMBER(SEARCH("手势识别传感器",H226)),1,0)))</f>
        <v>120</v>
      </c>
      <c r="M226" s="12">
        <f>计价规则!$B$4+计价规则!$B$5*IF(H226="",0,LEN(H226)-LEN(SUBSTITUTE(H226,"、",""))+1)</f>
        <v>130</v>
      </c>
      <c r="N226" s="12"/>
      <c r="O226" s="12">
        <f>计价规则!$B$6</f>
        <v>100</v>
      </c>
      <c r="P226" s="12">
        <f>计价规则!$B$6</f>
        <v>100</v>
      </c>
      <c r="Q226" s="12">
        <f>计价规则!$B$6</f>
        <v>100</v>
      </c>
      <c r="R226" s="12">
        <f>计价规则!$B$7</f>
        <v>400</v>
      </c>
      <c r="S226" s="8" t="s">
        <v>26</v>
      </c>
      <c r="T226" s="13">
        <v>225</v>
      </c>
    </row>
    <row r="227" ht="26" customHeight="1" spans="1:20">
      <c r="A227" s="8">
        <f t="shared" si="3"/>
        <v>226</v>
      </c>
      <c r="B227" s="8" t="s">
        <v>585</v>
      </c>
      <c r="C227" s="9" t="s">
        <v>662</v>
      </c>
      <c r="D227" s="10" t="s">
        <v>663</v>
      </c>
      <c r="E227" s="11" t="s">
        <v>23</v>
      </c>
      <c r="F227" s="11"/>
      <c r="G227" s="10" t="s">
        <v>24</v>
      </c>
      <c r="H227" s="10" t="s">
        <v>606</v>
      </c>
      <c r="I227" s="10"/>
      <c r="J227" s="10"/>
      <c r="K227" s="10"/>
      <c r="L227" s="12">
        <f>计价规则!$B$2+计价规则!$B$3*MAX(0,IF(H227="",0,LEN(H227)-LEN(SUBSTITUTE(H227,"、",""))+1)-(IF(ISNUMBER(SEARCH("WiFi通信模块",H227)),1,0)+IF(ISNUMBER(SEARCH("ESP8266 WiFi模块",H227)),1,0)+IF(ISNUMBER(SEARCH("NRF24L01无线通信模块",H227)),1,0)+IF(ISNUMBER(SEARCH("蓝牙模块",H227)),1,0)+IF(ISNUMBER(SEARCH("语音识别模块",H227)),1,0)+IF(ISNUMBER(SEARCH("语音播报模块",H227)),1,0)+IF(ISNUMBER(SEARCH("RFID模块",H227)),1,0)+IF(ISNUMBER(SEARCH("RFID读卡模块",H227)),1,0)+IF(ISNUMBER(SEARCH("GPS定位模块",H227)),1,0)+IF(ISNUMBER(SEARCH("GSM通信模块",H227)),1,0)+IF(ISNUMBER(SEARCH("摄像头模块",H227)),1,0)+IF(ISNUMBER(SEARCH("人脸识别模块",H227)),1,0)+IF(ISNUMBER(SEARCH("手势识别传感器",H227)),1,0)))</f>
        <v>120</v>
      </c>
      <c r="M227" s="12">
        <f>计价规则!$B$4+计价规则!$B$5*IF(H227="",0,LEN(H227)-LEN(SUBSTITUTE(H227,"、",""))+1)</f>
        <v>130</v>
      </c>
      <c r="N227" s="12"/>
      <c r="O227" s="12">
        <f>计价规则!$B$6</f>
        <v>100</v>
      </c>
      <c r="P227" s="12">
        <f>计价规则!$B$6</f>
        <v>100</v>
      </c>
      <c r="Q227" s="12">
        <f>计价规则!$B$6</f>
        <v>100</v>
      </c>
      <c r="R227" s="12">
        <f>计价规则!$B$7</f>
        <v>400</v>
      </c>
      <c r="S227" s="8" t="s">
        <v>26</v>
      </c>
      <c r="T227" s="13">
        <v>226</v>
      </c>
    </row>
    <row r="228" ht="26" customHeight="1" spans="1:20">
      <c r="A228" s="8">
        <f t="shared" si="3"/>
        <v>227</v>
      </c>
      <c r="B228" s="8" t="s">
        <v>664</v>
      </c>
      <c r="C228" s="9" t="s">
        <v>665</v>
      </c>
      <c r="D228" s="10" t="s">
        <v>666</v>
      </c>
      <c r="E228" s="11" t="s">
        <v>23</v>
      </c>
      <c r="F228" s="11"/>
      <c r="G228" s="10" t="s">
        <v>24</v>
      </c>
      <c r="H228" s="10" t="s">
        <v>606</v>
      </c>
      <c r="I228" s="10"/>
      <c r="J228" s="10"/>
      <c r="K228" s="10"/>
      <c r="L228" s="12">
        <f>计价规则!$B$2+计价规则!$B$3*MAX(0,IF(H228="",0,LEN(H228)-LEN(SUBSTITUTE(H228,"、",""))+1)-(IF(ISNUMBER(SEARCH("WiFi通信模块",H228)),1,0)+IF(ISNUMBER(SEARCH("ESP8266 WiFi模块",H228)),1,0)+IF(ISNUMBER(SEARCH("NRF24L01无线通信模块",H228)),1,0)+IF(ISNUMBER(SEARCH("蓝牙模块",H228)),1,0)+IF(ISNUMBER(SEARCH("语音识别模块",H228)),1,0)+IF(ISNUMBER(SEARCH("语音播报模块",H228)),1,0)+IF(ISNUMBER(SEARCH("RFID模块",H228)),1,0)+IF(ISNUMBER(SEARCH("RFID读卡模块",H228)),1,0)+IF(ISNUMBER(SEARCH("GPS定位模块",H228)),1,0)+IF(ISNUMBER(SEARCH("GSM通信模块",H228)),1,0)+IF(ISNUMBER(SEARCH("摄像头模块",H228)),1,0)+IF(ISNUMBER(SEARCH("人脸识别模块",H228)),1,0)+IF(ISNUMBER(SEARCH("手势识别传感器",H228)),1,0)))</f>
        <v>120</v>
      </c>
      <c r="M228" s="12">
        <f>计价规则!$B$4+计价规则!$B$5*IF(H228="",0,LEN(H228)-LEN(SUBSTITUTE(H228,"、",""))+1)</f>
        <v>130</v>
      </c>
      <c r="N228" s="12"/>
      <c r="O228" s="12">
        <f>计价规则!$B$6</f>
        <v>100</v>
      </c>
      <c r="P228" s="12">
        <f>计价规则!$B$6</f>
        <v>100</v>
      </c>
      <c r="Q228" s="12">
        <f>计价规则!$B$6</f>
        <v>100</v>
      </c>
      <c r="R228" s="12">
        <f>计价规则!$B$7</f>
        <v>400</v>
      </c>
      <c r="S228" s="8" t="s">
        <v>26</v>
      </c>
      <c r="T228" s="13">
        <v>227</v>
      </c>
    </row>
    <row r="229" ht="26" customHeight="1" spans="1:20">
      <c r="A229" s="8">
        <f t="shared" si="3"/>
        <v>228</v>
      </c>
      <c r="B229" s="8" t="s">
        <v>664</v>
      </c>
      <c r="C229" s="9" t="s">
        <v>667</v>
      </c>
      <c r="D229" s="10" t="s">
        <v>668</v>
      </c>
      <c r="E229" s="11" t="s">
        <v>23</v>
      </c>
      <c r="F229" s="11"/>
      <c r="G229" s="10" t="s">
        <v>24</v>
      </c>
      <c r="H229" s="10" t="s">
        <v>606</v>
      </c>
      <c r="I229" s="10"/>
      <c r="J229" s="10"/>
      <c r="K229" s="10"/>
      <c r="L229" s="12">
        <f>计价规则!$B$2+计价规则!$B$3*MAX(0,IF(H229="",0,LEN(H229)-LEN(SUBSTITUTE(H229,"、",""))+1)-(IF(ISNUMBER(SEARCH("WiFi通信模块",H229)),1,0)+IF(ISNUMBER(SEARCH("ESP8266 WiFi模块",H229)),1,0)+IF(ISNUMBER(SEARCH("NRF24L01无线通信模块",H229)),1,0)+IF(ISNUMBER(SEARCH("蓝牙模块",H229)),1,0)+IF(ISNUMBER(SEARCH("语音识别模块",H229)),1,0)+IF(ISNUMBER(SEARCH("语音播报模块",H229)),1,0)+IF(ISNUMBER(SEARCH("RFID模块",H229)),1,0)+IF(ISNUMBER(SEARCH("RFID读卡模块",H229)),1,0)+IF(ISNUMBER(SEARCH("GPS定位模块",H229)),1,0)+IF(ISNUMBER(SEARCH("GSM通信模块",H229)),1,0)+IF(ISNUMBER(SEARCH("摄像头模块",H229)),1,0)+IF(ISNUMBER(SEARCH("人脸识别模块",H229)),1,0)+IF(ISNUMBER(SEARCH("手势识别传感器",H229)),1,0)))</f>
        <v>120</v>
      </c>
      <c r="M229" s="12">
        <f>计价规则!$B$4+计价规则!$B$5*IF(H229="",0,LEN(H229)-LEN(SUBSTITUTE(H229,"、",""))+1)</f>
        <v>130</v>
      </c>
      <c r="N229" s="12"/>
      <c r="O229" s="12">
        <f>计价规则!$B$6</f>
        <v>100</v>
      </c>
      <c r="P229" s="12">
        <f>计价规则!$B$6</f>
        <v>100</v>
      </c>
      <c r="Q229" s="12">
        <f>计价规则!$B$6</f>
        <v>100</v>
      </c>
      <c r="R229" s="12">
        <f>计价规则!$B$7</f>
        <v>400</v>
      </c>
      <c r="S229" s="8" t="s">
        <v>26</v>
      </c>
      <c r="T229" s="13">
        <v>228</v>
      </c>
    </row>
    <row r="230" ht="26" customHeight="1" spans="1:20">
      <c r="A230" s="8">
        <f t="shared" si="3"/>
        <v>229</v>
      </c>
      <c r="B230" s="8" t="s">
        <v>664</v>
      </c>
      <c r="C230" s="9" t="s">
        <v>669</v>
      </c>
      <c r="D230" s="10" t="s">
        <v>670</v>
      </c>
      <c r="E230" s="11" t="s">
        <v>23</v>
      </c>
      <c r="F230" s="11"/>
      <c r="G230" s="10" t="s">
        <v>24</v>
      </c>
      <c r="H230" s="10" t="s">
        <v>606</v>
      </c>
      <c r="I230" s="10"/>
      <c r="J230" s="10"/>
      <c r="K230" s="10"/>
      <c r="L230" s="12">
        <f>计价规则!$B$2+计价规则!$B$3*MAX(0,IF(H230="",0,LEN(H230)-LEN(SUBSTITUTE(H230,"、",""))+1)-(IF(ISNUMBER(SEARCH("WiFi通信模块",H230)),1,0)+IF(ISNUMBER(SEARCH("ESP8266 WiFi模块",H230)),1,0)+IF(ISNUMBER(SEARCH("NRF24L01无线通信模块",H230)),1,0)+IF(ISNUMBER(SEARCH("蓝牙模块",H230)),1,0)+IF(ISNUMBER(SEARCH("语音识别模块",H230)),1,0)+IF(ISNUMBER(SEARCH("语音播报模块",H230)),1,0)+IF(ISNUMBER(SEARCH("RFID模块",H230)),1,0)+IF(ISNUMBER(SEARCH("RFID读卡模块",H230)),1,0)+IF(ISNUMBER(SEARCH("GPS定位模块",H230)),1,0)+IF(ISNUMBER(SEARCH("GSM通信模块",H230)),1,0)+IF(ISNUMBER(SEARCH("摄像头模块",H230)),1,0)+IF(ISNUMBER(SEARCH("人脸识别模块",H230)),1,0)+IF(ISNUMBER(SEARCH("手势识别传感器",H230)),1,0)))</f>
        <v>120</v>
      </c>
      <c r="M230" s="12">
        <f>计价规则!$B$4+计价规则!$B$5*IF(H230="",0,LEN(H230)-LEN(SUBSTITUTE(H230,"、",""))+1)</f>
        <v>130</v>
      </c>
      <c r="N230" s="12"/>
      <c r="O230" s="12">
        <f>计价规则!$B$6</f>
        <v>100</v>
      </c>
      <c r="P230" s="12">
        <f>计价规则!$B$6</f>
        <v>100</v>
      </c>
      <c r="Q230" s="12">
        <f>计价规则!$B$6</f>
        <v>100</v>
      </c>
      <c r="R230" s="12">
        <f>计价规则!$B$7</f>
        <v>400</v>
      </c>
      <c r="S230" s="8" t="s">
        <v>26</v>
      </c>
      <c r="T230" s="13">
        <v>229</v>
      </c>
    </row>
    <row r="231" ht="26" customHeight="1" spans="1:20">
      <c r="A231" s="8">
        <f t="shared" si="3"/>
        <v>230</v>
      </c>
      <c r="B231" s="8" t="s">
        <v>664</v>
      </c>
      <c r="C231" s="9" t="s">
        <v>671</v>
      </c>
      <c r="D231" s="10" t="s">
        <v>672</v>
      </c>
      <c r="E231" s="11" t="s">
        <v>23</v>
      </c>
      <c r="F231" s="11"/>
      <c r="G231" s="10" t="s">
        <v>24</v>
      </c>
      <c r="H231" s="10" t="s">
        <v>606</v>
      </c>
      <c r="I231" s="10"/>
      <c r="J231" s="10"/>
      <c r="K231" s="10"/>
      <c r="L231" s="12">
        <f>计价规则!$B$2+计价规则!$B$3*MAX(0,IF(H231="",0,LEN(H231)-LEN(SUBSTITUTE(H231,"、",""))+1)-(IF(ISNUMBER(SEARCH("WiFi通信模块",H231)),1,0)+IF(ISNUMBER(SEARCH("ESP8266 WiFi模块",H231)),1,0)+IF(ISNUMBER(SEARCH("NRF24L01无线通信模块",H231)),1,0)+IF(ISNUMBER(SEARCH("蓝牙模块",H231)),1,0)+IF(ISNUMBER(SEARCH("语音识别模块",H231)),1,0)+IF(ISNUMBER(SEARCH("语音播报模块",H231)),1,0)+IF(ISNUMBER(SEARCH("RFID模块",H231)),1,0)+IF(ISNUMBER(SEARCH("RFID读卡模块",H231)),1,0)+IF(ISNUMBER(SEARCH("GPS定位模块",H231)),1,0)+IF(ISNUMBER(SEARCH("GSM通信模块",H231)),1,0)+IF(ISNUMBER(SEARCH("摄像头模块",H231)),1,0)+IF(ISNUMBER(SEARCH("人脸识别模块",H231)),1,0)+IF(ISNUMBER(SEARCH("手势识别传感器",H231)),1,0)))</f>
        <v>120</v>
      </c>
      <c r="M231" s="12">
        <f>计价规则!$B$4+计价规则!$B$5*IF(H231="",0,LEN(H231)-LEN(SUBSTITUTE(H231,"、",""))+1)</f>
        <v>130</v>
      </c>
      <c r="N231" s="12"/>
      <c r="O231" s="12">
        <f>计价规则!$B$6</f>
        <v>100</v>
      </c>
      <c r="P231" s="12">
        <f>计价规则!$B$6</f>
        <v>100</v>
      </c>
      <c r="Q231" s="12">
        <f>计价规则!$B$6</f>
        <v>100</v>
      </c>
      <c r="R231" s="12">
        <f>计价规则!$B$7</f>
        <v>400</v>
      </c>
      <c r="S231" s="8" t="s">
        <v>26</v>
      </c>
      <c r="T231" s="13">
        <v>230</v>
      </c>
    </row>
    <row r="232" ht="26" customHeight="1" spans="1:20">
      <c r="A232" s="8">
        <f t="shared" si="3"/>
        <v>231</v>
      </c>
      <c r="B232" s="8" t="s">
        <v>664</v>
      </c>
      <c r="C232" s="9" t="s">
        <v>673</v>
      </c>
      <c r="D232" s="10" t="s">
        <v>674</v>
      </c>
      <c r="E232" s="11" t="s">
        <v>23</v>
      </c>
      <c r="F232" s="11"/>
      <c r="G232" s="10" t="s">
        <v>24</v>
      </c>
      <c r="H232" s="10" t="s">
        <v>606</v>
      </c>
      <c r="I232" s="10"/>
      <c r="J232" s="10"/>
      <c r="K232" s="10"/>
      <c r="L232" s="12">
        <f>计价规则!$B$2+计价规则!$B$3*MAX(0,IF(H232="",0,LEN(H232)-LEN(SUBSTITUTE(H232,"、",""))+1)-(IF(ISNUMBER(SEARCH("WiFi通信模块",H232)),1,0)+IF(ISNUMBER(SEARCH("ESP8266 WiFi模块",H232)),1,0)+IF(ISNUMBER(SEARCH("NRF24L01无线通信模块",H232)),1,0)+IF(ISNUMBER(SEARCH("蓝牙模块",H232)),1,0)+IF(ISNUMBER(SEARCH("语音识别模块",H232)),1,0)+IF(ISNUMBER(SEARCH("语音播报模块",H232)),1,0)+IF(ISNUMBER(SEARCH("RFID模块",H232)),1,0)+IF(ISNUMBER(SEARCH("RFID读卡模块",H232)),1,0)+IF(ISNUMBER(SEARCH("GPS定位模块",H232)),1,0)+IF(ISNUMBER(SEARCH("GSM通信模块",H232)),1,0)+IF(ISNUMBER(SEARCH("摄像头模块",H232)),1,0)+IF(ISNUMBER(SEARCH("人脸识别模块",H232)),1,0)+IF(ISNUMBER(SEARCH("手势识别传感器",H232)),1,0)))</f>
        <v>120</v>
      </c>
      <c r="M232" s="12">
        <f>计价规则!$B$4+计价规则!$B$5*IF(H232="",0,LEN(H232)-LEN(SUBSTITUTE(H232,"、",""))+1)</f>
        <v>130</v>
      </c>
      <c r="N232" s="12"/>
      <c r="O232" s="12">
        <f>计价规则!$B$6</f>
        <v>100</v>
      </c>
      <c r="P232" s="12">
        <f>计价规则!$B$6</f>
        <v>100</v>
      </c>
      <c r="Q232" s="12">
        <f>计价规则!$B$6</f>
        <v>100</v>
      </c>
      <c r="R232" s="12">
        <f>计价规则!$B$7</f>
        <v>400</v>
      </c>
      <c r="S232" s="8" t="s">
        <v>26</v>
      </c>
      <c r="T232" s="13">
        <v>231</v>
      </c>
    </row>
    <row r="233" ht="26" customHeight="1" spans="1:20">
      <c r="A233" s="8">
        <f t="shared" si="3"/>
        <v>232</v>
      </c>
      <c r="B233" s="8" t="s">
        <v>664</v>
      </c>
      <c r="C233" s="9" t="s">
        <v>675</v>
      </c>
      <c r="D233" s="10" t="s">
        <v>676</v>
      </c>
      <c r="E233" s="11" t="s">
        <v>23</v>
      </c>
      <c r="F233" s="11"/>
      <c r="G233" s="10" t="s">
        <v>24</v>
      </c>
      <c r="H233" s="10" t="s">
        <v>606</v>
      </c>
      <c r="I233" s="10"/>
      <c r="J233" s="10"/>
      <c r="K233" s="10"/>
      <c r="L233" s="12">
        <f>计价规则!$B$2+计价规则!$B$3*MAX(0,IF(H233="",0,LEN(H233)-LEN(SUBSTITUTE(H233,"、",""))+1)-(IF(ISNUMBER(SEARCH("WiFi通信模块",H233)),1,0)+IF(ISNUMBER(SEARCH("ESP8266 WiFi模块",H233)),1,0)+IF(ISNUMBER(SEARCH("NRF24L01无线通信模块",H233)),1,0)+IF(ISNUMBER(SEARCH("蓝牙模块",H233)),1,0)+IF(ISNUMBER(SEARCH("语音识别模块",H233)),1,0)+IF(ISNUMBER(SEARCH("语音播报模块",H233)),1,0)+IF(ISNUMBER(SEARCH("RFID模块",H233)),1,0)+IF(ISNUMBER(SEARCH("RFID读卡模块",H233)),1,0)+IF(ISNUMBER(SEARCH("GPS定位模块",H233)),1,0)+IF(ISNUMBER(SEARCH("GSM通信模块",H233)),1,0)+IF(ISNUMBER(SEARCH("摄像头模块",H233)),1,0)+IF(ISNUMBER(SEARCH("人脸识别模块",H233)),1,0)+IF(ISNUMBER(SEARCH("手势识别传感器",H233)),1,0)))</f>
        <v>120</v>
      </c>
      <c r="M233" s="12">
        <f>计价规则!$B$4+计价规则!$B$5*IF(H233="",0,LEN(H233)-LEN(SUBSTITUTE(H233,"、",""))+1)</f>
        <v>130</v>
      </c>
      <c r="N233" s="12"/>
      <c r="O233" s="12">
        <f>计价规则!$B$6</f>
        <v>100</v>
      </c>
      <c r="P233" s="12">
        <f>计价规则!$B$6</f>
        <v>100</v>
      </c>
      <c r="Q233" s="12">
        <f>计价规则!$B$6</f>
        <v>100</v>
      </c>
      <c r="R233" s="12">
        <f>计价规则!$B$7</f>
        <v>400</v>
      </c>
      <c r="S233" s="8" t="s">
        <v>26</v>
      </c>
      <c r="T233" s="13">
        <v>232</v>
      </c>
    </row>
    <row r="234" ht="26" customHeight="1" spans="1:20">
      <c r="A234" s="8">
        <f t="shared" si="3"/>
        <v>233</v>
      </c>
      <c r="B234" s="8" t="s">
        <v>664</v>
      </c>
      <c r="C234" s="9" t="s">
        <v>677</v>
      </c>
      <c r="D234" s="10" t="s">
        <v>678</v>
      </c>
      <c r="E234" s="11" t="s">
        <v>23</v>
      </c>
      <c r="F234" s="11"/>
      <c r="G234" s="10" t="s">
        <v>24</v>
      </c>
      <c r="H234" s="10" t="s">
        <v>606</v>
      </c>
      <c r="I234" s="10"/>
      <c r="J234" s="10"/>
      <c r="K234" s="10"/>
      <c r="L234" s="12">
        <f>计价规则!$B$2+计价规则!$B$3*MAX(0,IF(H234="",0,LEN(H234)-LEN(SUBSTITUTE(H234,"、",""))+1)-(IF(ISNUMBER(SEARCH("WiFi通信模块",H234)),1,0)+IF(ISNUMBER(SEARCH("ESP8266 WiFi模块",H234)),1,0)+IF(ISNUMBER(SEARCH("NRF24L01无线通信模块",H234)),1,0)+IF(ISNUMBER(SEARCH("蓝牙模块",H234)),1,0)+IF(ISNUMBER(SEARCH("语音识别模块",H234)),1,0)+IF(ISNUMBER(SEARCH("语音播报模块",H234)),1,0)+IF(ISNUMBER(SEARCH("RFID模块",H234)),1,0)+IF(ISNUMBER(SEARCH("RFID读卡模块",H234)),1,0)+IF(ISNUMBER(SEARCH("GPS定位模块",H234)),1,0)+IF(ISNUMBER(SEARCH("GSM通信模块",H234)),1,0)+IF(ISNUMBER(SEARCH("摄像头模块",H234)),1,0)+IF(ISNUMBER(SEARCH("人脸识别模块",H234)),1,0)+IF(ISNUMBER(SEARCH("手势识别传感器",H234)),1,0)))</f>
        <v>120</v>
      </c>
      <c r="M234" s="12">
        <f>计价规则!$B$4+计价规则!$B$5*IF(H234="",0,LEN(H234)-LEN(SUBSTITUTE(H234,"、",""))+1)</f>
        <v>130</v>
      </c>
      <c r="N234" s="12"/>
      <c r="O234" s="12">
        <f>计价规则!$B$6</f>
        <v>100</v>
      </c>
      <c r="P234" s="12">
        <f>计价规则!$B$6</f>
        <v>100</v>
      </c>
      <c r="Q234" s="12">
        <f>计价规则!$B$6</f>
        <v>100</v>
      </c>
      <c r="R234" s="12">
        <f>计价规则!$B$7</f>
        <v>400</v>
      </c>
      <c r="S234" s="8" t="s">
        <v>26</v>
      </c>
      <c r="T234" s="13">
        <v>233</v>
      </c>
    </row>
    <row r="235" ht="26" customHeight="1" spans="1:20">
      <c r="A235" s="8">
        <f t="shared" si="3"/>
        <v>234</v>
      </c>
      <c r="B235" s="8" t="s">
        <v>664</v>
      </c>
      <c r="C235" s="9" t="s">
        <v>679</v>
      </c>
      <c r="D235" s="10" t="s">
        <v>680</v>
      </c>
      <c r="E235" s="11" t="s">
        <v>23</v>
      </c>
      <c r="F235" s="11"/>
      <c r="G235" s="10" t="s">
        <v>24</v>
      </c>
      <c r="H235" s="10" t="s">
        <v>606</v>
      </c>
      <c r="I235" s="10"/>
      <c r="J235" s="10"/>
      <c r="K235" s="10"/>
      <c r="L235" s="12">
        <f>计价规则!$B$2+计价规则!$B$3*MAX(0,IF(H235="",0,LEN(H235)-LEN(SUBSTITUTE(H235,"、",""))+1)-(IF(ISNUMBER(SEARCH("WiFi通信模块",H235)),1,0)+IF(ISNUMBER(SEARCH("ESP8266 WiFi模块",H235)),1,0)+IF(ISNUMBER(SEARCH("NRF24L01无线通信模块",H235)),1,0)+IF(ISNUMBER(SEARCH("蓝牙模块",H235)),1,0)+IF(ISNUMBER(SEARCH("语音识别模块",H235)),1,0)+IF(ISNUMBER(SEARCH("语音播报模块",H235)),1,0)+IF(ISNUMBER(SEARCH("RFID模块",H235)),1,0)+IF(ISNUMBER(SEARCH("RFID读卡模块",H235)),1,0)+IF(ISNUMBER(SEARCH("GPS定位模块",H235)),1,0)+IF(ISNUMBER(SEARCH("GSM通信模块",H235)),1,0)+IF(ISNUMBER(SEARCH("摄像头模块",H235)),1,0)+IF(ISNUMBER(SEARCH("人脸识别模块",H235)),1,0)+IF(ISNUMBER(SEARCH("手势识别传感器",H235)),1,0)))</f>
        <v>120</v>
      </c>
      <c r="M235" s="12">
        <f>计价规则!$B$4+计价规则!$B$5*IF(H235="",0,LEN(H235)-LEN(SUBSTITUTE(H235,"、",""))+1)</f>
        <v>130</v>
      </c>
      <c r="N235" s="12"/>
      <c r="O235" s="12">
        <f>计价规则!$B$6</f>
        <v>100</v>
      </c>
      <c r="P235" s="12">
        <f>计价规则!$B$6</f>
        <v>100</v>
      </c>
      <c r="Q235" s="12">
        <f>计价规则!$B$6</f>
        <v>100</v>
      </c>
      <c r="R235" s="12">
        <f>计价规则!$B$7</f>
        <v>400</v>
      </c>
      <c r="S235" s="8" t="s">
        <v>26</v>
      </c>
      <c r="T235" s="13">
        <v>234</v>
      </c>
    </row>
    <row r="236" ht="26" customHeight="1" spans="1:20">
      <c r="A236" s="8">
        <f t="shared" si="3"/>
        <v>235</v>
      </c>
      <c r="B236" s="8" t="s">
        <v>664</v>
      </c>
      <c r="C236" s="9" t="s">
        <v>681</v>
      </c>
      <c r="D236" s="10" t="s">
        <v>682</v>
      </c>
      <c r="E236" s="11" t="s">
        <v>23</v>
      </c>
      <c r="F236" s="11"/>
      <c r="G236" s="10" t="s">
        <v>24</v>
      </c>
      <c r="H236" s="10" t="s">
        <v>606</v>
      </c>
      <c r="I236" s="10"/>
      <c r="J236" s="10"/>
      <c r="K236" s="10"/>
      <c r="L236" s="12">
        <f>计价规则!$B$2+计价规则!$B$3*MAX(0,IF(H236="",0,LEN(H236)-LEN(SUBSTITUTE(H236,"、",""))+1)-(IF(ISNUMBER(SEARCH("WiFi通信模块",H236)),1,0)+IF(ISNUMBER(SEARCH("ESP8266 WiFi模块",H236)),1,0)+IF(ISNUMBER(SEARCH("NRF24L01无线通信模块",H236)),1,0)+IF(ISNUMBER(SEARCH("蓝牙模块",H236)),1,0)+IF(ISNUMBER(SEARCH("语音识别模块",H236)),1,0)+IF(ISNUMBER(SEARCH("语音播报模块",H236)),1,0)+IF(ISNUMBER(SEARCH("RFID模块",H236)),1,0)+IF(ISNUMBER(SEARCH("RFID读卡模块",H236)),1,0)+IF(ISNUMBER(SEARCH("GPS定位模块",H236)),1,0)+IF(ISNUMBER(SEARCH("GSM通信模块",H236)),1,0)+IF(ISNUMBER(SEARCH("摄像头模块",H236)),1,0)+IF(ISNUMBER(SEARCH("人脸识别模块",H236)),1,0)+IF(ISNUMBER(SEARCH("手势识别传感器",H236)),1,0)))</f>
        <v>120</v>
      </c>
      <c r="M236" s="12">
        <f>计价规则!$B$4+计价规则!$B$5*IF(H236="",0,LEN(H236)-LEN(SUBSTITUTE(H236,"、",""))+1)</f>
        <v>130</v>
      </c>
      <c r="N236" s="12"/>
      <c r="O236" s="12">
        <f>计价规则!$B$6</f>
        <v>100</v>
      </c>
      <c r="P236" s="12">
        <f>计价规则!$B$6</f>
        <v>100</v>
      </c>
      <c r="Q236" s="12">
        <f>计价规则!$B$6</f>
        <v>100</v>
      </c>
      <c r="R236" s="12">
        <f>计价规则!$B$7</f>
        <v>400</v>
      </c>
      <c r="S236" s="8" t="s">
        <v>26</v>
      </c>
      <c r="T236" s="13">
        <v>235</v>
      </c>
    </row>
    <row r="237" ht="26" customHeight="1" spans="1:20">
      <c r="A237" s="8">
        <f t="shared" si="3"/>
        <v>236</v>
      </c>
      <c r="B237" s="8" t="s">
        <v>683</v>
      </c>
      <c r="C237" s="14" t="s">
        <v>684</v>
      </c>
      <c r="D237" s="10" t="s">
        <v>685</v>
      </c>
      <c r="E237" s="11" t="s">
        <v>283</v>
      </c>
      <c r="F237" s="11"/>
      <c r="G237" s="10" t="s">
        <v>686</v>
      </c>
      <c r="H237" s="10" t="s">
        <v>687</v>
      </c>
      <c r="I237" s="10"/>
      <c r="J237" s="10"/>
      <c r="K237" s="10" t="s">
        <v>688</v>
      </c>
      <c r="L237" s="12">
        <f>计价规则!$B$2+计价规则!$B$3*MAX(0,IF(H237="",0,LEN(H237)-LEN(SUBSTITUTE(H237,"、",""))+1)-(IF(ISNUMBER(SEARCH("WiFi通信模块",H237)),1,0)+IF(ISNUMBER(SEARCH("ESP8266 WiFi模块",H237)),1,0)+IF(ISNUMBER(SEARCH("NRF24L01无线通信模块",H237)),1,0)+IF(ISNUMBER(SEARCH("蓝牙模块",H237)),1,0)+IF(ISNUMBER(SEARCH("语音识别模块",H237)),1,0)+IF(ISNUMBER(SEARCH("语音播报模块",H237)),1,0)+IF(ISNUMBER(SEARCH("RFID模块",H237)),1,0)+IF(ISNUMBER(SEARCH("RFID读卡模块",H237)),1,0)+IF(ISNUMBER(SEARCH("GPS定位模块",H237)),1,0)+IF(ISNUMBER(SEARCH("GSM通信模块",H237)),1,0)+IF(ISNUMBER(SEARCH("摄像头模块",H237)),1,0)+IF(ISNUMBER(SEARCH("人脸识别模块",H237)),1,0)+IF(ISNUMBER(SEARCH("手势识别传感器",H237)),1,0)))</f>
        <v>90</v>
      </c>
      <c r="M237" s="12">
        <f>计价规则!$B$4+计价规则!$B$5*IF(H237="",0,LEN(H237)-LEN(SUBSTITUTE(H237,"、",""))+1)</f>
        <v>110</v>
      </c>
      <c r="N237" s="12">
        <v>350</v>
      </c>
      <c r="O237" s="12">
        <f>计价规则!$B$6</f>
        <v>100</v>
      </c>
      <c r="P237" s="12">
        <f>计价规则!$B$6</f>
        <v>100</v>
      </c>
      <c r="Q237" s="12">
        <f>计价规则!$B$6</f>
        <v>100</v>
      </c>
      <c r="R237" s="12">
        <f>计价规则!$B$7</f>
        <v>400</v>
      </c>
      <c r="S237" s="8" t="s">
        <v>26</v>
      </c>
      <c r="T237" s="13">
        <v>236</v>
      </c>
    </row>
    <row r="238" ht="26" customHeight="1" spans="1:20">
      <c r="A238" s="8">
        <f t="shared" si="3"/>
        <v>237</v>
      </c>
      <c r="B238" s="8" t="s">
        <v>683</v>
      </c>
      <c r="C238" s="14" t="s">
        <v>689</v>
      </c>
      <c r="D238" s="10" t="s">
        <v>690</v>
      </c>
      <c r="E238" s="11" t="s">
        <v>283</v>
      </c>
      <c r="F238" s="11"/>
      <c r="G238" s="10" t="s">
        <v>131</v>
      </c>
      <c r="H238" s="10" t="s">
        <v>691</v>
      </c>
      <c r="I238" s="10"/>
      <c r="J238" s="10"/>
      <c r="K238" s="10" t="s">
        <v>692</v>
      </c>
      <c r="L238" s="12">
        <f>计价规则!$B$2+计价规则!$B$3*MAX(0,IF(H238="",0,LEN(H238)-LEN(SUBSTITUTE(H238,"、",""))+1)-(IF(ISNUMBER(SEARCH("WiFi通信模块",H238)),1,0)+IF(ISNUMBER(SEARCH("ESP8266 WiFi模块",H238)),1,0)+IF(ISNUMBER(SEARCH("NRF24L01无线通信模块",H238)),1,0)+IF(ISNUMBER(SEARCH("蓝牙模块",H238)),1,0)+IF(ISNUMBER(SEARCH("语音识别模块",H238)),1,0)+IF(ISNUMBER(SEARCH("语音播报模块",H238)),1,0)+IF(ISNUMBER(SEARCH("RFID模块",H238)),1,0)+IF(ISNUMBER(SEARCH("RFID读卡模块",H238)),1,0)+IF(ISNUMBER(SEARCH("GPS定位模块",H238)),1,0)+IF(ISNUMBER(SEARCH("GSM通信模块",H238)),1,0)+IF(ISNUMBER(SEARCH("摄像头模块",H238)),1,0)+IF(ISNUMBER(SEARCH("人脸识别模块",H238)),1,0)+IF(ISNUMBER(SEARCH("手势识别传感器",H238)),1,0)))</f>
        <v>90</v>
      </c>
      <c r="M238" s="12">
        <f>计价规则!$B$4+计价规则!$B$5*IF(H238="",0,LEN(H238)-LEN(SUBSTITUTE(H238,"、",""))+1)</f>
        <v>130</v>
      </c>
      <c r="N238" s="12">
        <v>200</v>
      </c>
      <c r="O238" s="12">
        <f>计价规则!$B$6</f>
        <v>100</v>
      </c>
      <c r="P238" s="12">
        <f>计价规则!$B$6</f>
        <v>100</v>
      </c>
      <c r="Q238" s="12">
        <f>计价规则!$B$6</f>
        <v>100</v>
      </c>
      <c r="R238" s="12">
        <f>计价规则!$B$7</f>
        <v>400</v>
      </c>
      <c r="S238" s="8" t="s">
        <v>167</v>
      </c>
      <c r="T238" s="13">
        <v>237</v>
      </c>
    </row>
    <row r="239" ht="26" customHeight="1" spans="1:20">
      <c r="A239" s="8">
        <f t="shared" si="3"/>
        <v>238</v>
      </c>
      <c r="B239" s="8" t="s">
        <v>683</v>
      </c>
      <c r="C239" s="14" t="s">
        <v>693</v>
      </c>
      <c r="D239" s="10" t="s">
        <v>694</v>
      </c>
      <c r="E239" s="11" t="s">
        <v>283</v>
      </c>
      <c r="F239" s="11"/>
      <c r="G239" s="10" t="s">
        <v>695</v>
      </c>
      <c r="H239" s="10" t="s">
        <v>696</v>
      </c>
      <c r="I239" s="10"/>
      <c r="J239" s="10"/>
      <c r="K239" s="10" t="s">
        <v>697</v>
      </c>
      <c r="L239" s="12">
        <f>计价规则!$B$2+计价规则!$B$3*MAX(0,IF(H239="",0,LEN(H239)-LEN(SUBSTITUTE(H239,"、",""))+1)-(IF(ISNUMBER(SEARCH("WiFi通信模块",H239)),1,0)+IF(ISNUMBER(SEARCH("ESP8266 WiFi模块",H239)),1,0)+IF(ISNUMBER(SEARCH("NRF24L01无线通信模块",H239)),1,0)+IF(ISNUMBER(SEARCH("蓝牙模块",H239)),1,0)+IF(ISNUMBER(SEARCH("语音识别模块",H239)),1,0)+IF(ISNUMBER(SEARCH("语音播报模块",H239)),1,0)+IF(ISNUMBER(SEARCH("RFID模块",H239)),1,0)+IF(ISNUMBER(SEARCH("RFID读卡模块",H239)),1,0)+IF(ISNUMBER(SEARCH("GPS定位模块",H239)),1,0)+IF(ISNUMBER(SEARCH("GSM通信模块",H239)),1,0)+IF(ISNUMBER(SEARCH("摄像头模块",H239)),1,0)+IF(ISNUMBER(SEARCH("人脸识别模块",H239)),1,0)+IF(ISNUMBER(SEARCH("手势识别传感器",H239)),1,0)))</f>
        <v>105</v>
      </c>
      <c r="M239" s="12">
        <f>计价规则!$B$4+计价规则!$B$5*IF(H239="",0,LEN(H239)-LEN(SUBSTITUTE(H239,"、",""))+1)</f>
        <v>130</v>
      </c>
      <c r="N239" s="12">
        <v>400</v>
      </c>
      <c r="O239" s="12">
        <f>计价规则!$B$6</f>
        <v>100</v>
      </c>
      <c r="P239" s="12">
        <f>计价规则!$B$6</f>
        <v>100</v>
      </c>
      <c r="Q239" s="12">
        <f>计价规则!$B$6</f>
        <v>100</v>
      </c>
      <c r="R239" s="12">
        <f>计价规则!$B$7</f>
        <v>400</v>
      </c>
      <c r="S239" s="8" t="s">
        <v>26</v>
      </c>
      <c r="T239" s="13">
        <v>238</v>
      </c>
    </row>
    <row r="240" ht="26" customHeight="1" spans="1:20">
      <c r="A240" s="8">
        <f t="shared" si="3"/>
        <v>239</v>
      </c>
      <c r="B240" s="8" t="s">
        <v>683</v>
      </c>
      <c r="C240" s="14" t="s">
        <v>698</v>
      </c>
      <c r="D240" s="10" t="s">
        <v>699</v>
      </c>
      <c r="E240" s="11" t="s">
        <v>283</v>
      </c>
      <c r="F240" s="11"/>
      <c r="G240" s="10" t="s">
        <v>695</v>
      </c>
      <c r="H240" s="10" t="s">
        <v>700</v>
      </c>
      <c r="I240" s="10"/>
      <c r="J240" s="10"/>
      <c r="K240" s="10" t="s">
        <v>697</v>
      </c>
      <c r="L240" s="12">
        <f>计价规则!$B$2+计价规则!$B$3*MAX(0,IF(H240="",0,LEN(H240)-LEN(SUBSTITUTE(H240,"、",""))+1)-(IF(ISNUMBER(SEARCH("WiFi通信模块",H240)),1,0)+IF(ISNUMBER(SEARCH("ESP8266 WiFi模块",H240)),1,0)+IF(ISNUMBER(SEARCH("NRF24L01无线通信模块",H240)),1,0)+IF(ISNUMBER(SEARCH("蓝牙模块",H240)),1,0)+IF(ISNUMBER(SEARCH("语音识别模块",H240)),1,0)+IF(ISNUMBER(SEARCH("语音播报模块",H240)),1,0)+IF(ISNUMBER(SEARCH("RFID模块",H240)),1,0)+IF(ISNUMBER(SEARCH("RFID读卡模块",H240)),1,0)+IF(ISNUMBER(SEARCH("GPS定位模块",H240)),1,0)+IF(ISNUMBER(SEARCH("GSM通信模块",H240)),1,0)+IF(ISNUMBER(SEARCH("摄像头模块",H240)),1,0)+IF(ISNUMBER(SEARCH("人脸识别模块",H240)),1,0)+IF(ISNUMBER(SEARCH("手势识别传感器",H240)),1,0)))</f>
        <v>105</v>
      </c>
      <c r="M240" s="12">
        <f>计价规则!$B$4+计价规则!$B$5*IF(H240="",0,LEN(H240)-LEN(SUBSTITUTE(H240,"、",""))+1)</f>
        <v>130</v>
      </c>
      <c r="N240" s="12">
        <v>400</v>
      </c>
      <c r="O240" s="12">
        <f>计价规则!$B$6</f>
        <v>100</v>
      </c>
      <c r="P240" s="12">
        <f>计价规则!$B$6</f>
        <v>100</v>
      </c>
      <c r="Q240" s="12">
        <f>计价规则!$B$6</f>
        <v>100</v>
      </c>
      <c r="R240" s="12">
        <f>计价规则!$B$7</f>
        <v>400</v>
      </c>
      <c r="S240" s="8" t="s">
        <v>26</v>
      </c>
      <c r="T240" s="13">
        <v>239</v>
      </c>
    </row>
    <row r="241" ht="26" customHeight="1" spans="1:20">
      <c r="A241" s="8">
        <f t="shared" si="3"/>
        <v>240</v>
      </c>
      <c r="B241" s="8" t="s">
        <v>683</v>
      </c>
      <c r="C241" s="14" t="s">
        <v>701</v>
      </c>
      <c r="D241" s="10" t="s">
        <v>702</v>
      </c>
      <c r="E241" s="11" t="s">
        <v>283</v>
      </c>
      <c r="F241" s="11"/>
      <c r="G241" s="10" t="s">
        <v>703</v>
      </c>
      <c r="H241" s="10" t="s">
        <v>704</v>
      </c>
      <c r="I241" s="10"/>
      <c r="J241" s="10"/>
      <c r="K241" s="10" t="s">
        <v>120</v>
      </c>
      <c r="L241" s="12">
        <f>计价规则!$B$2+计价规则!$B$3*MAX(0,IF(H241="",0,LEN(H241)-LEN(SUBSTITUTE(H241,"、",""))+1)-(IF(ISNUMBER(SEARCH("WiFi通信模块",H241)),1,0)+IF(ISNUMBER(SEARCH("ESP8266 WiFi模块",H241)),1,0)+IF(ISNUMBER(SEARCH("NRF24L01无线通信模块",H241)),1,0)+IF(ISNUMBER(SEARCH("蓝牙模块",H241)),1,0)+IF(ISNUMBER(SEARCH("语音识别模块",H241)),1,0)+IF(ISNUMBER(SEARCH("语音播报模块",H241)),1,0)+IF(ISNUMBER(SEARCH("RFID模块",H241)),1,0)+IF(ISNUMBER(SEARCH("RFID读卡模块",H241)),1,0)+IF(ISNUMBER(SEARCH("GPS定位模块",H241)),1,0)+IF(ISNUMBER(SEARCH("GSM通信模块",H241)),1,0)+IF(ISNUMBER(SEARCH("摄像头模块",H241)),1,0)+IF(ISNUMBER(SEARCH("人脸识别模块",H241)),1,0)+IF(ISNUMBER(SEARCH("手势识别传感器",H241)),1,0)))</f>
        <v>120</v>
      </c>
      <c r="M241" s="12">
        <f>计价规则!$B$4+计价规则!$B$5*IF(H241="",0,LEN(H241)-LEN(SUBSTITUTE(H241,"、",""))+1)</f>
        <v>150</v>
      </c>
      <c r="N241" s="12">
        <v>400</v>
      </c>
      <c r="O241" s="12">
        <f>计价规则!$B$6</f>
        <v>100</v>
      </c>
      <c r="P241" s="12">
        <f>计价规则!$B$6</f>
        <v>100</v>
      </c>
      <c r="Q241" s="12">
        <f>计价规则!$B$6</f>
        <v>100</v>
      </c>
      <c r="R241" s="12">
        <f>计价规则!$B$7</f>
        <v>400</v>
      </c>
      <c r="S241" s="8" t="s">
        <v>26</v>
      </c>
      <c r="T241" s="13">
        <v>240</v>
      </c>
    </row>
    <row r="242" ht="26" customHeight="1" spans="1:20">
      <c r="A242" s="8">
        <f t="shared" si="3"/>
        <v>241</v>
      </c>
      <c r="B242" s="8" t="s">
        <v>683</v>
      </c>
      <c r="C242" s="14" t="s">
        <v>705</v>
      </c>
      <c r="D242" s="10" t="s">
        <v>706</v>
      </c>
      <c r="E242" s="11" t="s">
        <v>283</v>
      </c>
      <c r="F242" s="11"/>
      <c r="G242" s="10" t="s">
        <v>54</v>
      </c>
      <c r="H242" s="10" t="s">
        <v>627</v>
      </c>
      <c r="I242" s="10"/>
      <c r="J242" s="10"/>
      <c r="K242" s="10"/>
      <c r="L242" s="12">
        <f>计价规则!$B$2+计价规则!$B$3*MAX(0,IF(H242="",0,LEN(H242)-LEN(SUBSTITUTE(H242,"、",""))+1)-(IF(ISNUMBER(SEARCH("WiFi通信模块",H242)),1,0)+IF(ISNUMBER(SEARCH("ESP8266 WiFi模块",H242)),1,0)+IF(ISNUMBER(SEARCH("NRF24L01无线通信模块",H242)),1,0)+IF(ISNUMBER(SEARCH("蓝牙模块",H242)),1,0)+IF(ISNUMBER(SEARCH("语音识别模块",H242)),1,0)+IF(ISNUMBER(SEARCH("语音播报模块",H242)),1,0)+IF(ISNUMBER(SEARCH("RFID模块",H242)),1,0)+IF(ISNUMBER(SEARCH("RFID读卡模块",H242)),1,0)+IF(ISNUMBER(SEARCH("GPS定位模块",H242)),1,0)+IF(ISNUMBER(SEARCH("GSM通信模块",H242)),1,0)+IF(ISNUMBER(SEARCH("摄像头模块",H242)),1,0)+IF(ISNUMBER(SEARCH("人脸识别模块",H242)),1,0)+IF(ISNUMBER(SEARCH("手势识别传感器",H242)),1,0)))</f>
        <v>75</v>
      </c>
      <c r="M242" s="12">
        <f>计价规则!$B$4+计价规则!$B$5*IF(H242="",0,LEN(H242)-LEN(SUBSTITUTE(H242,"、",""))+1)</f>
        <v>70</v>
      </c>
      <c r="N242" s="12">
        <v>300</v>
      </c>
      <c r="O242" s="12">
        <f>计价规则!$B$6</f>
        <v>100</v>
      </c>
      <c r="P242" s="12">
        <f>计价规则!$B$6</f>
        <v>100</v>
      </c>
      <c r="Q242" s="12">
        <f>计价规则!$B$6</f>
        <v>100</v>
      </c>
      <c r="R242" s="12">
        <f>计价规则!$B$7</f>
        <v>400</v>
      </c>
      <c r="S242" s="8" t="s">
        <v>26</v>
      </c>
      <c r="T242" s="13">
        <v>241</v>
      </c>
    </row>
    <row r="243" ht="26" customHeight="1" spans="1:20">
      <c r="A243" s="8">
        <f t="shared" si="3"/>
        <v>242</v>
      </c>
      <c r="B243" s="8" t="s">
        <v>683</v>
      </c>
      <c r="C243" s="14" t="s">
        <v>707</v>
      </c>
      <c r="D243" s="10" t="s">
        <v>708</v>
      </c>
      <c r="E243" s="11" t="s">
        <v>283</v>
      </c>
      <c r="F243" s="11"/>
      <c r="G243" s="10" t="s">
        <v>557</v>
      </c>
      <c r="H243" s="10" t="s">
        <v>558</v>
      </c>
      <c r="I243" s="10"/>
      <c r="J243" s="10"/>
      <c r="K243" s="10"/>
      <c r="L243" s="12">
        <f>计价规则!$B$2+计价规则!$B$3*MAX(0,IF(H243="",0,LEN(H243)-LEN(SUBSTITUTE(H243,"、",""))+1)-(IF(ISNUMBER(SEARCH("WiFi通信模块",H243)),1,0)+IF(ISNUMBER(SEARCH("ESP8266 WiFi模块",H243)),1,0)+IF(ISNUMBER(SEARCH("NRF24L01无线通信模块",H243)),1,0)+IF(ISNUMBER(SEARCH("蓝牙模块",H243)),1,0)+IF(ISNUMBER(SEARCH("语音识别模块",H243)),1,0)+IF(ISNUMBER(SEARCH("语音播报模块",H243)),1,0)+IF(ISNUMBER(SEARCH("RFID模块",H243)),1,0)+IF(ISNUMBER(SEARCH("RFID读卡模块",H243)),1,0)+IF(ISNUMBER(SEARCH("GPS定位模块",H243)),1,0)+IF(ISNUMBER(SEARCH("GSM通信模块",H243)),1,0)+IF(ISNUMBER(SEARCH("摄像头模块",H243)),1,0)+IF(ISNUMBER(SEARCH("人脸识别模块",H243)),1,0)+IF(ISNUMBER(SEARCH("手势识别传感器",H243)),1,0)))</f>
        <v>105</v>
      </c>
      <c r="M243" s="12">
        <f>计价规则!$B$4+计价规则!$B$5*IF(H243="",0,LEN(H243)-LEN(SUBSTITUTE(H243,"、",""))+1)</f>
        <v>110</v>
      </c>
      <c r="N243" s="12">
        <v>300</v>
      </c>
      <c r="O243" s="12">
        <f>计价规则!$B$6</f>
        <v>100</v>
      </c>
      <c r="P243" s="12">
        <f>计价规则!$B$6</f>
        <v>100</v>
      </c>
      <c r="Q243" s="12">
        <f>计价规则!$B$6</f>
        <v>100</v>
      </c>
      <c r="R243" s="12">
        <f>计价规则!$B$7</f>
        <v>400</v>
      </c>
      <c r="S243" s="8" t="s">
        <v>26</v>
      </c>
      <c r="T243" s="13">
        <v>242</v>
      </c>
    </row>
    <row r="244" ht="26" customHeight="1" spans="1:20">
      <c r="A244" s="8">
        <f t="shared" si="3"/>
        <v>243</v>
      </c>
      <c r="B244" s="8" t="s">
        <v>683</v>
      </c>
      <c r="C244" s="14" t="s">
        <v>709</v>
      </c>
      <c r="D244" s="10" t="s">
        <v>710</v>
      </c>
      <c r="E244" s="11" t="s">
        <v>283</v>
      </c>
      <c r="F244" s="11"/>
      <c r="G244" s="10" t="s">
        <v>305</v>
      </c>
      <c r="H244" s="10" t="s">
        <v>524</v>
      </c>
      <c r="I244" s="10"/>
      <c r="J244" s="10"/>
      <c r="K244" s="10"/>
      <c r="L244" s="12">
        <f>计价规则!$B$2+计价规则!$B$3*MAX(0,IF(H244="",0,LEN(H244)-LEN(SUBSTITUTE(H244,"、",""))+1)-(IF(ISNUMBER(SEARCH("WiFi通信模块",H244)),1,0)+IF(ISNUMBER(SEARCH("ESP8266 WiFi模块",H244)),1,0)+IF(ISNUMBER(SEARCH("NRF24L01无线通信模块",H244)),1,0)+IF(ISNUMBER(SEARCH("蓝牙模块",H244)),1,0)+IF(ISNUMBER(SEARCH("语音识别模块",H244)),1,0)+IF(ISNUMBER(SEARCH("语音播报模块",H244)),1,0)+IF(ISNUMBER(SEARCH("RFID模块",H244)),1,0)+IF(ISNUMBER(SEARCH("RFID读卡模块",H244)),1,0)+IF(ISNUMBER(SEARCH("GPS定位模块",H244)),1,0)+IF(ISNUMBER(SEARCH("GSM通信模块",H244)),1,0)+IF(ISNUMBER(SEARCH("摄像头模块",H244)),1,0)+IF(ISNUMBER(SEARCH("人脸识别模块",H244)),1,0)+IF(ISNUMBER(SEARCH("手势识别传感器",H244)),1,0)))</f>
        <v>105</v>
      </c>
      <c r="M244" s="12">
        <f>计价规则!$B$4+计价规则!$B$5*IF(H244="",0,LEN(H244)-LEN(SUBSTITUTE(H244,"、",""))+1)</f>
        <v>110</v>
      </c>
      <c r="N244" s="12">
        <v>300</v>
      </c>
      <c r="O244" s="12">
        <f>计价规则!$B$6</f>
        <v>100</v>
      </c>
      <c r="P244" s="12">
        <f>计价规则!$B$6</f>
        <v>100</v>
      </c>
      <c r="Q244" s="12">
        <f>计价规则!$B$6</f>
        <v>100</v>
      </c>
      <c r="R244" s="12">
        <f>计价规则!$B$7</f>
        <v>400</v>
      </c>
      <c r="S244" s="8" t="s">
        <v>26</v>
      </c>
      <c r="T244" s="13">
        <v>243</v>
      </c>
    </row>
    <row r="245" ht="26" customHeight="1" spans="1:20">
      <c r="A245" s="8">
        <f t="shared" si="3"/>
        <v>244</v>
      </c>
      <c r="B245" s="8" t="s">
        <v>683</v>
      </c>
      <c r="C245" s="14" t="s">
        <v>711</v>
      </c>
      <c r="D245" s="10" t="s">
        <v>712</v>
      </c>
      <c r="E245" s="11" t="s">
        <v>283</v>
      </c>
      <c r="F245" s="11"/>
      <c r="G245" s="10" t="s">
        <v>81</v>
      </c>
      <c r="H245" s="10" t="s">
        <v>444</v>
      </c>
      <c r="I245" s="10"/>
      <c r="J245" s="10"/>
      <c r="K245" s="10"/>
      <c r="L245" s="12">
        <f>计价规则!$B$2+计价规则!$B$3*MAX(0,IF(H245="",0,LEN(H245)-LEN(SUBSTITUTE(H245,"、",""))+1)-(IF(ISNUMBER(SEARCH("WiFi通信模块",H245)),1,0)+IF(ISNUMBER(SEARCH("ESP8266 WiFi模块",H245)),1,0)+IF(ISNUMBER(SEARCH("NRF24L01无线通信模块",H245)),1,0)+IF(ISNUMBER(SEARCH("蓝牙模块",H245)),1,0)+IF(ISNUMBER(SEARCH("语音识别模块",H245)),1,0)+IF(ISNUMBER(SEARCH("语音播报模块",H245)),1,0)+IF(ISNUMBER(SEARCH("RFID模块",H245)),1,0)+IF(ISNUMBER(SEARCH("RFID读卡模块",H245)),1,0)+IF(ISNUMBER(SEARCH("GPS定位模块",H245)),1,0)+IF(ISNUMBER(SEARCH("GSM通信模块",H245)),1,0)+IF(ISNUMBER(SEARCH("摄像头模块",H245)),1,0)+IF(ISNUMBER(SEARCH("人脸识别模块",H245)),1,0)+IF(ISNUMBER(SEARCH("手势识别传感器",H245)),1,0)))</f>
        <v>90</v>
      </c>
      <c r="M245" s="12">
        <f>计价规则!$B$4+计价规则!$B$5*IF(H245="",0,LEN(H245)-LEN(SUBSTITUTE(H245,"、",""))+1)</f>
        <v>90</v>
      </c>
      <c r="N245" s="12">
        <v>200</v>
      </c>
      <c r="O245" s="12">
        <f>计价规则!$B$6</f>
        <v>100</v>
      </c>
      <c r="P245" s="12">
        <f>计价规则!$B$6</f>
        <v>100</v>
      </c>
      <c r="Q245" s="12">
        <f>计价规则!$B$6</f>
        <v>100</v>
      </c>
      <c r="R245" s="12">
        <f>计价规则!$B$7</f>
        <v>400</v>
      </c>
      <c r="S245" s="8" t="s">
        <v>167</v>
      </c>
      <c r="T245" s="13">
        <v>244</v>
      </c>
    </row>
    <row r="246" ht="26" customHeight="1" spans="1:20">
      <c r="A246" s="8">
        <f t="shared" si="3"/>
        <v>245</v>
      </c>
      <c r="B246" s="8" t="s">
        <v>683</v>
      </c>
      <c r="C246" s="14" t="s">
        <v>713</v>
      </c>
      <c r="D246" s="10" t="s">
        <v>714</v>
      </c>
      <c r="E246" s="11" t="s">
        <v>283</v>
      </c>
      <c r="F246" s="11"/>
      <c r="G246" s="10" t="s">
        <v>54</v>
      </c>
      <c r="H246" s="10" t="s">
        <v>715</v>
      </c>
      <c r="I246" s="10"/>
      <c r="J246" s="10"/>
      <c r="K246" s="10"/>
      <c r="L246" s="12">
        <f>计价规则!$B$2+计价规则!$B$3*MAX(0,IF(H246="",0,LEN(H246)-LEN(SUBSTITUTE(H246,"、",""))+1)-(IF(ISNUMBER(SEARCH("WiFi通信模块",H246)),1,0)+IF(ISNUMBER(SEARCH("ESP8266 WiFi模块",H246)),1,0)+IF(ISNUMBER(SEARCH("NRF24L01无线通信模块",H246)),1,0)+IF(ISNUMBER(SEARCH("蓝牙模块",H246)),1,0)+IF(ISNUMBER(SEARCH("语音识别模块",H246)),1,0)+IF(ISNUMBER(SEARCH("语音播报模块",H246)),1,0)+IF(ISNUMBER(SEARCH("RFID模块",H246)),1,0)+IF(ISNUMBER(SEARCH("RFID读卡模块",H246)),1,0)+IF(ISNUMBER(SEARCH("GPS定位模块",H246)),1,0)+IF(ISNUMBER(SEARCH("GSM通信模块",H246)),1,0)+IF(ISNUMBER(SEARCH("摄像头模块",H246)),1,0)+IF(ISNUMBER(SEARCH("人脸识别模块",H246)),1,0)+IF(ISNUMBER(SEARCH("手势识别传感器",H246)),1,0)))</f>
        <v>90</v>
      </c>
      <c r="M246" s="12">
        <f>计价规则!$B$4+计价规则!$B$5*IF(H246="",0,LEN(H246)-LEN(SUBSTITUTE(H246,"、",""))+1)</f>
        <v>90</v>
      </c>
      <c r="N246" s="12">
        <v>300</v>
      </c>
      <c r="O246" s="12">
        <f>计价规则!$B$6</f>
        <v>100</v>
      </c>
      <c r="P246" s="12">
        <f>计价规则!$B$6</f>
        <v>100</v>
      </c>
      <c r="Q246" s="12">
        <f>计价规则!$B$6</f>
        <v>100</v>
      </c>
      <c r="R246" s="12">
        <f>计价规则!$B$7</f>
        <v>400</v>
      </c>
      <c r="S246" s="8" t="s">
        <v>26</v>
      </c>
      <c r="T246" s="13">
        <v>245</v>
      </c>
    </row>
    <row r="247" ht="26" customHeight="1" spans="1:20">
      <c r="A247" s="8">
        <f t="shared" si="3"/>
        <v>246</v>
      </c>
      <c r="B247" s="8" t="s">
        <v>683</v>
      </c>
      <c r="C247" s="14" t="s">
        <v>716</v>
      </c>
      <c r="D247" s="10" t="s">
        <v>717</v>
      </c>
      <c r="E247" s="11" t="s">
        <v>283</v>
      </c>
      <c r="F247" s="11"/>
      <c r="G247" s="10" t="s">
        <v>718</v>
      </c>
      <c r="H247" s="10" t="s">
        <v>719</v>
      </c>
      <c r="I247" s="10"/>
      <c r="J247" s="10"/>
      <c r="K247" s="10" t="s">
        <v>120</v>
      </c>
      <c r="L247" s="12">
        <f>计价规则!$B$2+计价规则!$B$3*MAX(0,IF(H247="",0,LEN(H247)-LEN(SUBSTITUTE(H247,"、",""))+1)-(IF(ISNUMBER(SEARCH("WiFi通信模块",H247)),1,0)+IF(ISNUMBER(SEARCH("ESP8266 WiFi模块",H247)),1,0)+IF(ISNUMBER(SEARCH("NRF24L01无线通信模块",H247)),1,0)+IF(ISNUMBER(SEARCH("蓝牙模块",H247)),1,0)+IF(ISNUMBER(SEARCH("语音识别模块",H247)),1,0)+IF(ISNUMBER(SEARCH("语音播报模块",H247)),1,0)+IF(ISNUMBER(SEARCH("RFID模块",H247)),1,0)+IF(ISNUMBER(SEARCH("RFID读卡模块",H247)),1,0)+IF(ISNUMBER(SEARCH("GPS定位模块",H247)),1,0)+IF(ISNUMBER(SEARCH("GSM通信模块",H247)),1,0)+IF(ISNUMBER(SEARCH("摄像头模块",H247)),1,0)+IF(ISNUMBER(SEARCH("人脸识别模块",H247)),1,0)+IF(ISNUMBER(SEARCH("手势识别传感器",H247)),1,0)))</f>
        <v>105</v>
      </c>
      <c r="M247" s="12">
        <f>计价规则!$B$4+计价规则!$B$5*IF(H247="",0,LEN(H247)-LEN(SUBSTITUTE(H247,"、",""))+1)</f>
        <v>130</v>
      </c>
      <c r="N247" s="12">
        <v>200</v>
      </c>
      <c r="O247" s="12">
        <f>计价规则!$B$6</f>
        <v>100</v>
      </c>
      <c r="P247" s="12">
        <f>计价规则!$B$6</f>
        <v>100</v>
      </c>
      <c r="Q247" s="12">
        <f>计价规则!$B$6</f>
        <v>100</v>
      </c>
      <c r="R247" s="12">
        <f>计价规则!$B$7</f>
        <v>400</v>
      </c>
      <c r="S247" s="8" t="s">
        <v>26</v>
      </c>
      <c r="T247" s="13">
        <v>246</v>
      </c>
    </row>
    <row r="248" ht="26" customHeight="1" spans="1:20">
      <c r="A248" s="8">
        <f t="shared" si="3"/>
        <v>247</v>
      </c>
      <c r="B248" s="8" t="s">
        <v>683</v>
      </c>
      <c r="C248" s="14" t="s">
        <v>720</v>
      </c>
      <c r="D248" s="10" t="s">
        <v>721</v>
      </c>
      <c r="E248" s="11" t="s">
        <v>283</v>
      </c>
      <c r="F248" s="11"/>
      <c r="G248" s="10" t="s">
        <v>146</v>
      </c>
      <c r="H248" s="10" t="s">
        <v>722</v>
      </c>
      <c r="I248" s="10"/>
      <c r="J248" s="10"/>
      <c r="K248" s="10"/>
      <c r="L248" s="12">
        <f>计价规则!$B$2+计价规则!$B$3*MAX(0,IF(H248="",0,LEN(H248)-LEN(SUBSTITUTE(H248,"、",""))+1)-(IF(ISNUMBER(SEARCH("WiFi通信模块",H248)),1,0)+IF(ISNUMBER(SEARCH("ESP8266 WiFi模块",H248)),1,0)+IF(ISNUMBER(SEARCH("NRF24L01无线通信模块",H248)),1,0)+IF(ISNUMBER(SEARCH("蓝牙模块",H248)),1,0)+IF(ISNUMBER(SEARCH("语音识别模块",H248)),1,0)+IF(ISNUMBER(SEARCH("语音播报模块",H248)),1,0)+IF(ISNUMBER(SEARCH("RFID模块",H248)),1,0)+IF(ISNUMBER(SEARCH("RFID读卡模块",H248)),1,0)+IF(ISNUMBER(SEARCH("GPS定位模块",H248)),1,0)+IF(ISNUMBER(SEARCH("GSM通信模块",H248)),1,0)+IF(ISNUMBER(SEARCH("摄像头模块",H248)),1,0)+IF(ISNUMBER(SEARCH("人脸识别模块",H248)),1,0)+IF(ISNUMBER(SEARCH("手势识别传感器",H248)),1,0)))</f>
        <v>90</v>
      </c>
      <c r="M248" s="12">
        <f>计价规则!$B$4+计价规则!$B$5*IF(H248="",0,LEN(H248)-LEN(SUBSTITUTE(H248,"、",""))+1)</f>
        <v>90</v>
      </c>
      <c r="N248" s="12">
        <v>350</v>
      </c>
      <c r="O248" s="12">
        <f>计价规则!$B$6</f>
        <v>100</v>
      </c>
      <c r="P248" s="12">
        <f>计价规则!$B$6</f>
        <v>100</v>
      </c>
      <c r="Q248" s="12">
        <f>计价规则!$B$6</f>
        <v>100</v>
      </c>
      <c r="R248" s="12">
        <f>计价规则!$B$7</f>
        <v>400</v>
      </c>
      <c r="S248" s="8" t="s">
        <v>26</v>
      </c>
      <c r="T248" s="13">
        <v>247</v>
      </c>
    </row>
    <row r="249" ht="26" customHeight="1" spans="1:20">
      <c r="A249" s="8">
        <f t="shared" si="3"/>
        <v>248</v>
      </c>
      <c r="B249" s="8" t="s">
        <v>683</v>
      </c>
      <c r="C249" s="14" t="s">
        <v>723</v>
      </c>
      <c r="D249" s="10" t="s">
        <v>724</v>
      </c>
      <c r="E249" s="11" t="s">
        <v>283</v>
      </c>
      <c r="F249" s="11"/>
      <c r="G249" s="10" t="s">
        <v>725</v>
      </c>
      <c r="H249" s="10" t="s">
        <v>726</v>
      </c>
      <c r="I249" s="10"/>
      <c r="J249" s="10"/>
      <c r="K249" s="10" t="s">
        <v>120</v>
      </c>
      <c r="L249" s="12">
        <f>计价规则!$B$2+计价规则!$B$3*MAX(0,IF(H249="",0,LEN(H249)-LEN(SUBSTITUTE(H249,"、",""))+1)-(IF(ISNUMBER(SEARCH("WiFi通信模块",H249)),1,0)+IF(ISNUMBER(SEARCH("ESP8266 WiFi模块",H249)),1,0)+IF(ISNUMBER(SEARCH("NRF24L01无线通信模块",H249)),1,0)+IF(ISNUMBER(SEARCH("蓝牙模块",H249)),1,0)+IF(ISNUMBER(SEARCH("语音识别模块",H249)),1,0)+IF(ISNUMBER(SEARCH("语音播报模块",H249)),1,0)+IF(ISNUMBER(SEARCH("RFID模块",H249)),1,0)+IF(ISNUMBER(SEARCH("RFID读卡模块",H249)),1,0)+IF(ISNUMBER(SEARCH("GPS定位模块",H249)),1,0)+IF(ISNUMBER(SEARCH("GSM通信模块",H249)),1,0)+IF(ISNUMBER(SEARCH("摄像头模块",H249)),1,0)+IF(ISNUMBER(SEARCH("人脸识别模块",H249)),1,0)+IF(ISNUMBER(SEARCH("手势识别传感器",H249)),1,0)))</f>
        <v>105</v>
      </c>
      <c r="M249" s="12">
        <f>计价规则!$B$4+计价规则!$B$5*IF(H249="",0,LEN(H249)-LEN(SUBSTITUTE(H249,"、",""))+1)</f>
        <v>130</v>
      </c>
      <c r="N249" s="12">
        <v>400</v>
      </c>
      <c r="O249" s="12">
        <f>计价规则!$B$6</f>
        <v>100</v>
      </c>
      <c r="P249" s="12">
        <f>计价规则!$B$6</f>
        <v>100</v>
      </c>
      <c r="Q249" s="12">
        <f>计价规则!$B$6</f>
        <v>100</v>
      </c>
      <c r="R249" s="12">
        <f>计价规则!$B$7</f>
        <v>400</v>
      </c>
      <c r="S249" s="8" t="s">
        <v>26</v>
      </c>
      <c r="T249" s="13">
        <v>248</v>
      </c>
    </row>
    <row r="250" ht="26" customHeight="1" spans="1:20">
      <c r="A250" s="8">
        <f t="shared" si="3"/>
        <v>249</v>
      </c>
      <c r="B250" s="8" t="s">
        <v>683</v>
      </c>
      <c r="C250" s="14" t="s">
        <v>727</v>
      </c>
      <c r="D250" s="10" t="s">
        <v>728</v>
      </c>
      <c r="E250" s="11" t="s">
        <v>283</v>
      </c>
      <c r="F250" s="11"/>
      <c r="G250" s="10" t="s">
        <v>729</v>
      </c>
      <c r="H250" s="10" t="s">
        <v>730</v>
      </c>
      <c r="I250" s="10"/>
      <c r="J250" s="10"/>
      <c r="K250" s="10" t="s">
        <v>120</v>
      </c>
      <c r="L250" s="12">
        <f>计价规则!$B$2+计价规则!$B$3*MAX(0,IF(H250="",0,LEN(H250)-LEN(SUBSTITUTE(H250,"、",""))+1)-(IF(ISNUMBER(SEARCH("WiFi通信模块",H250)),1,0)+IF(ISNUMBER(SEARCH("ESP8266 WiFi模块",H250)),1,0)+IF(ISNUMBER(SEARCH("NRF24L01无线通信模块",H250)),1,0)+IF(ISNUMBER(SEARCH("蓝牙模块",H250)),1,0)+IF(ISNUMBER(SEARCH("语音识别模块",H250)),1,0)+IF(ISNUMBER(SEARCH("语音播报模块",H250)),1,0)+IF(ISNUMBER(SEARCH("RFID模块",H250)),1,0)+IF(ISNUMBER(SEARCH("RFID读卡模块",H250)),1,0)+IF(ISNUMBER(SEARCH("GPS定位模块",H250)),1,0)+IF(ISNUMBER(SEARCH("GSM通信模块",H250)),1,0)+IF(ISNUMBER(SEARCH("摄像头模块",H250)),1,0)+IF(ISNUMBER(SEARCH("人脸识别模块",H250)),1,0)+IF(ISNUMBER(SEARCH("手势识别传感器",H250)),1,0)))</f>
        <v>120</v>
      </c>
      <c r="M250" s="12">
        <f>计价规则!$B$4+计价规则!$B$5*IF(H250="",0,LEN(H250)-LEN(SUBSTITUTE(H250,"、",""))+1)</f>
        <v>150</v>
      </c>
      <c r="N250" s="12">
        <v>200</v>
      </c>
      <c r="O250" s="12">
        <f>计价规则!$B$6</f>
        <v>100</v>
      </c>
      <c r="P250" s="12">
        <f>计价规则!$B$6</f>
        <v>100</v>
      </c>
      <c r="Q250" s="12">
        <f>计价规则!$B$6</f>
        <v>100</v>
      </c>
      <c r="R250" s="12">
        <f>计价规则!$B$7</f>
        <v>400</v>
      </c>
      <c r="S250" s="8" t="s">
        <v>26</v>
      </c>
      <c r="T250" s="13">
        <v>249</v>
      </c>
    </row>
    <row r="251" ht="26" customHeight="1" spans="1:20">
      <c r="A251" s="8">
        <f t="shared" si="3"/>
        <v>250</v>
      </c>
      <c r="B251" s="8" t="s">
        <v>683</v>
      </c>
      <c r="C251" s="14" t="s">
        <v>731</v>
      </c>
      <c r="D251" s="10" t="s">
        <v>732</v>
      </c>
      <c r="E251" s="11" t="s">
        <v>283</v>
      </c>
      <c r="F251" s="11"/>
      <c r="G251" s="10" t="s">
        <v>733</v>
      </c>
      <c r="H251" s="10" t="s">
        <v>734</v>
      </c>
      <c r="I251" s="10"/>
      <c r="J251" s="10"/>
      <c r="K251" s="10"/>
      <c r="L251" s="12">
        <f>计价规则!$B$2+计价规则!$B$3*MAX(0,IF(H251="",0,LEN(H251)-LEN(SUBSTITUTE(H251,"、",""))+1)-(IF(ISNUMBER(SEARCH("WiFi通信模块",H251)),1,0)+IF(ISNUMBER(SEARCH("ESP8266 WiFi模块",H251)),1,0)+IF(ISNUMBER(SEARCH("NRF24L01无线通信模块",H251)),1,0)+IF(ISNUMBER(SEARCH("蓝牙模块",H251)),1,0)+IF(ISNUMBER(SEARCH("语音识别模块",H251)),1,0)+IF(ISNUMBER(SEARCH("语音播报模块",H251)),1,0)+IF(ISNUMBER(SEARCH("RFID模块",H251)),1,0)+IF(ISNUMBER(SEARCH("RFID读卡模块",H251)),1,0)+IF(ISNUMBER(SEARCH("GPS定位模块",H251)),1,0)+IF(ISNUMBER(SEARCH("GSM通信模块",H251)),1,0)+IF(ISNUMBER(SEARCH("摄像头模块",H251)),1,0)+IF(ISNUMBER(SEARCH("人脸识别模块",H251)),1,0)+IF(ISNUMBER(SEARCH("手势识别传感器",H251)),1,0)))</f>
        <v>135</v>
      </c>
      <c r="M251" s="12">
        <f>计价规则!$B$4+计价规则!$B$5*IF(H251="",0,LEN(H251)-LEN(SUBSTITUTE(H251,"、",""))+1)</f>
        <v>150</v>
      </c>
      <c r="N251" s="12">
        <v>200</v>
      </c>
      <c r="O251" s="12">
        <f>计价规则!$B$6</f>
        <v>100</v>
      </c>
      <c r="P251" s="12">
        <f>计价规则!$B$6</f>
        <v>100</v>
      </c>
      <c r="Q251" s="12">
        <f>计价规则!$B$6</f>
        <v>100</v>
      </c>
      <c r="R251" s="12">
        <f>计价规则!$B$7</f>
        <v>400</v>
      </c>
      <c r="S251" s="8" t="s">
        <v>26</v>
      </c>
      <c r="T251" s="13">
        <v>250</v>
      </c>
    </row>
    <row r="252" ht="26" customHeight="1" spans="1:20">
      <c r="A252" s="8">
        <f t="shared" si="3"/>
        <v>251</v>
      </c>
      <c r="B252" s="8" t="s">
        <v>683</v>
      </c>
      <c r="C252" s="14" t="s">
        <v>735</v>
      </c>
      <c r="D252" s="10" t="s">
        <v>736</v>
      </c>
      <c r="E252" s="11" t="s">
        <v>283</v>
      </c>
      <c r="F252" s="11"/>
      <c r="G252" s="10" t="s">
        <v>313</v>
      </c>
      <c r="H252" s="10" t="s">
        <v>737</v>
      </c>
      <c r="I252" s="10"/>
      <c r="J252" s="10"/>
      <c r="K252" s="10"/>
      <c r="L252" s="12">
        <f>计价规则!$B$2+计价规则!$B$3*MAX(0,IF(H252="",0,LEN(H252)-LEN(SUBSTITUTE(H252,"、",""))+1)-(IF(ISNUMBER(SEARCH("WiFi通信模块",H252)),1,0)+IF(ISNUMBER(SEARCH("ESP8266 WiFi模块",H252)),1,0)+IF(ISNUMBER(SEARCH("NRF24L01无线通信模块",H252)),1,0)+IF(ISNUMBER(SEARCH("蓝牙模块",H252)),1,0)+IF(ISNUMBER(SEARCH("语音识别模块",H252)),1,0)+IF(ISNUMBER(SEARCH("语音播报模块",H252)),1,0)+IF(ISNUMBER(SEARCH("RFID模块",H252)),1,0)+IF(ISNUMBER(SEARCH("RFID读卡模块",H252)),1,0)+IF(ISNUMBER(SEARCH("GPS定位模块",H252)),1,0)+IF(ISNUMBER(SEARCH("GSM通信模块",H252)),1,0)+IF(ISNUMBER(SEARCH("摄像头模块",H252)),1,0)+IF(ISNUMBER(SEARCH("人脸识别模块",H252)),1,0)+IF(ISNUMBER(SEARCH("手势识别传感器",H252)),1,0)))</f>
        <v>90</v>
      </c>
      <c r="M252" s="12">
        <f>计价规则!$B$4+计价规则!$B$5*IF(H252="",0,LEN(H252)-LEN(SUBSTITUTE(H252,"、",""))+1)</f>
        <v>90</v>
      </c>
      <c r="N252" s="12">
        <v>200</v>
      </c>
      <c r="O252" s="12">
        <f>计价规则!$B$6</f>
        <v>100</v>
      </c>
      <c r="P252" s="12">
        <f>计价规则!$B$6</f>
        <v>100</v>
      </c>
      <c r="Q252" s="12">
        <f>计价规则!$B$6</f>
        <v>100</v>
      </c>
      <c r="R252" s="12">
        <f>计价规则!$B$7</f>
        <v>400</v>
      </c>
      <c r="S252" s="8" t="s">
        <v>26</v>
      </c>
      <c r="T252" s="13">
        <v>251</v>
      </c>
    </row>
    <row r="253" ht="26" customHeight="1" spans="1:20">
      <c r="A253" s="8">
        <f t="shared" si="3"/>
        <v>252</v>
      </c>
      <c r="B253" s="8" t="s">
        <v>683</v>
      </c>
      <c r="C253" s="14" t="s">
        <v>738</v>
      </c>
      <c r="D253" s="10" t="s">
        <v>739</v>
      </c>
      <c r="E253" s="11" t="s">
        <v>283</v>
      </c>
      <c r="F253" s="11"/>
      <c r="G253" s="10" t="s">
        <v>81</v>
      </c>
      <c r="H253" s="10" t="s">
        <v>478</v>
      </c>
      <c r="I253" s="10"/>
      <c r="J253" s="10"/>
      <c r="K253" s="10"/>
      <c r="L253" s="12">
        <f>计价规则!$B$2+计价规则!$B$3*MAX(0,IF(H253="",0,LEN(H253)-LEN(SUBSTITUTE(H253,"、",""))+1)-(IF(ISNUMBER(SEARCH("WiFi通信模块",H253)),1,0)+IF(ISNUMBER(SEARCH("ESP8266 WiFi模块",H253)),1,0)+IF(ISNUMBER(SEARCH("NRF24L01无线通信模块",H253)),1,0)+IF(ISNUMBER(SEARCH("蓝牙模块",H253)),1,0)+IF(ISNUMBER(SEARCH("语音识别模块",H253)),1,0)+IF(ISNUMBER(SEARCH("语音播报模块",H253)),1,0)+IF(ISNUMBER(SEARCH("RFID模块",H253)),1,0)+IF(ISNUMBER(SEARCH("RFID读卡模块",H253)),1,0)+IF(ISNUMBER(SEARCH("GPS定位模块",H253)),1,0)+IF(ISNUMBER(SEARCH("GSM通信模块",H253)),1,0)+IF(ISNUMBER(SEARCH("摄像头模块",H253)),1,0)+IF(ISNUMBER(SEARCH("人脸识别模块",H253)),1,0)+IF(ISNUMBER(SEARCH("手势识别传感器",H253)),1,0)))</f>
        <v>90</v>
      </c>
      <c r="M253" s="12">
        <f>计价规则!$B$4+计价规则!$B$5*IF(H253="",0,LEN(H253)-LEN(SUBSTITUTE(H253,"、",""))+1)</f>
        <v>90</v>
      </c>
      <c r="N253" s="12">
        <v>200</v>
      </c>
      <c r="O253" s="12">
        <f>计价规则!$B$6</f>
        <v>100</v>
      </c>
      <c r="P253" s="12">
        <f>计价规则!$B$6</f>
        <v>100</v>
      </c>
      <c r="Q253" s="12">
        <f>计价规则!$B$6</f>
        <v>100</v>
      </c>
      <c r="R253" s="12">
        <f>计价规则!$B$7</f>
        <v>400</v>
      </c>
      <c r="S253" s="8" t="s">
        <v>26</v>
      </c>
      <c r="T253" s="13">
        <v>252</v>
      </c>
    </row>
    <row r="254" ht="26" customHeight="1" spans="1:20">
      <c r="A254" s="8">
        <f t="shared" si="3"/>
        <v>253</v>
      </c>
      <c r="B254" s="8" t="s">
        <v>683</v>
      </c>
      <c r="C254" s="14" t="s">
        <v>740</v>
      </c>
      <c r="D254" s="10" t="s">
        <v>741</v>
      </c>
      <c r="E254" s="11" t="s">
        <v>283</v>
      </c>
      <c r="F254" s="11"/>
      <c r="G254" s="10" t="s">
        <v>742</v>
      </c>
      <c r="H254" s="10" t="s">
        <v>63</v>
      </c>
      <c r="I254" s="10"/>
      <c r="J254" s="10"/>
      <c r="K254" s="10"/>
      <c r="L254" s="12">
        <f>计价规则!$B$2+计价规则!$B$3*MAX(0,IF(H254="",0,LEN(H254)-LEN(SUBSTITUTE(H254,"、",""))+1)-(IF(ISNUMBER(SEARCH("WiFi通信模块",H254)),1,0)+IF(ISNUMBER(SEARCH("ESP8266 WiFi模块",H254)),1,0)+IF(ISNUMBER(SEARCH("NRF24L01无线通信模块",H254)),1,0)+IF(ISNUMBER(SEARCH("蓝牙模块",H254)),1,0)+IF(ISNUMBER(SEARCH("语音识别模块",H254)),1,0)+IF(ISNUMBER(SEARCH("语音播报模块",H254)),1,0)+IF(ISNUMBER(SEARCH("RFID模块",H254)),1,0)+IF(ISNUMBER(SEARCH("RFID读卡模块",H254)),1,0)+IF(ISNUMBER(SEARCH("GPS定位模块",H254)),1,0)+IF(ISNUMBER(SEARCH("GSM通信模块",H254)),1,0)+IF(ISNUMBER(SEARCH("摄像头模块",H254)),1,0)+IF(ISNUMBER(SEARCH("人脸识别模块",H254)),1,0)+IF(ISNUMBER(SEARCH("手势识别传感器",H254)),1,0)))</f>
        <v>105</v>
      </c>
      <c r="M254" s="12">
        <f>计价规则!$B$4+计价规则!$B$5*IF(H254="",0,LEN(H254)-LEN(SUBSTITUTE(H254,"、",""))+1)</f>
        <v>110</v>
      </c>
      <c r="N254" s="12">
        <v>200</v>
      </c>
      <c r="O254" s="12">
        <f>计价规则!$B$6</f>
        <v>100</v>
      </c>
      <c r="P254" s="12">
        <f>计价规则!$B$6</f>
        <v>100</v>
      </c>
      <c r="Q254" s="12">
        <f>计价规则!$B$6</f>
        <v>100</v>
      </c>
      <c r="R254" s="12">
        <f>计价规则!$B$7</f>
        <v>400</v>
      </c>
      <c r="S254" s="8" t="s">
        <v>26</v>
      </c>
      <c r="T254" s="13">
        <v>253</v>
      </c>
    </row>
    <row r="255" ht="26" customHeight="1" spans="1:20">
      <c r="A255" s="8">
        <f t="shared" si="3"/>
        <v>254</v>
      </c>
      <c r="B255" s="8" t="s">
        <v>683</v>
      </c>
      <c r="C255" s="14" t="s">
        <v>743</v>
      </c>
      <c r="D255" s="10" t="s">
        <v>744</v>
      </c>
      <c r="E255" s="11" t="s">
        <v>283</v>
      </c>
      <c r="F255" s="11"/>
      <c r="G255" s="10" t="s">
        <v>73</v>
      </c>
      <c r="H255" s="10" t="s">
        <v>554</v>
      </c>
      <c r="I255" s="10"/>
      <c r="J255" s="10"/>
      <c r="K255" s="10"/>
      <c r="L255" s="12">
        <f>计价规则!$B$2+计价规则!$B$3*MAX(0,IF(H255="",0,LEN(H255)-LEN(SUBSTITUTE(H255,"、",""))+1)-(IF(ISNUMBER(SEARCH("WiFi通信模块",H255)),1,0)+IF(ISNUMBER(SEARCH("ESP8266 WiFi模块",H255)),1,0)+IF(ISNUMBER(SEARCH("NRF24L01无线通信模块",H255)),1,0)+IF(ISNUMBER(SEARCH("蓝牙模块",H255)),1,0)+IF(ISNUMBER(SEARCH("语音识别模块",H255)),1,0)+IF(ISNUMBER(SEARCH("语音播报模块",H255)),1,0)+IF(ISNUMBER(SEARCH("RFID模块",H255)),1,0)+IF(ISNUMBER(SEARCH("RFID读卡模块",H255)),1,0)+IF(ISNUMBER(SEARCH("GPS定位模块",H255)),1,0)+IF(ISNUMBER(SEARCH("GSM通信模块",H255)),1,0)+IF(ISNUMBER(SEARCH("摄像头模块",H255)),1,0)+IF(ISNUMBER(SEARCH("人脸识别模块",H255)),1,0)+IF(ISNUMBER(SEARCH("手势识别传感器",H255)),1,0)))</f>
        <v>75</v>
      </c>
      <c r="M255" s="12">
        <f>计价规则!$B$4+计价规则!$B$5*IF(H255="",0,LEN(H255)-LEN(SUBSTITUTE(H255,"、",""))+1)</f>
        <v>70</v>
      </c>
      <c r="N255" s="12">
        <v>200</v>
      </c>
      <c r="O255" s="12">
        <f>计价规则!$B$6</f>
        <v>100</v>
      </c>
      <c r="P255" s="12">
        <f>计价规则!$B$6</f>
        <v>100</v>
      </c>
      <c r="Q255" s="12">
        <f>计价规则!$B$6</f>
        <v>100</v>
      </c>
      <c r="R255" s="12">
        <f>计价规则!$B$7</f>
        <v>400</v>
      </c>
      <c r="S255" s="8" t="s">
        <v>26</v>
      </c>
      <c r="T255" s="13">
        <v>254</v>
      </c>
    </row>
    <row r="256" ht="26" customHeight="1" spans="1:20">
      <c r="A256" s="8">
        <f t="shared" si="3"/>
        <v>255</v>
      </c>
      <c r="B256" s="8" t="s">
        <v>683</v>
      </c>
      <c r="C256" s="14" t="s">
        <v>745</v>
      </c>
      <c r="D256" s="10" t="s">
        <v>746</v>
      </c>
      <c r="E256" s="11" t="s">
        <v>283</v>
      </c>
      <c r="F256" s="11"/>
      <c r="G256" s="10" t="s">
        <v>62</v>
      </c>
      <c r="H256" s="10" t="s">
        <v>747</v>
      </c>
      <c r="I256" s="10"/>
      <c r="J256" s="10"/>
      <c r="K256" s="10"/>
      <c r="L256" s="12">
        <f>计价规则!$B$2+计价规则!$B$3*MAX(0,IF(H256="",0,LEN(H256)-LEN(SUBSTITUTE(H256,"、",""))+1)-(IF(ISNUMBER(SEARCH("WiFi通信模块",H256)),1,0)+IF(ISNUMBER(SEARCH("ESP8266 WiFi模块",H256)),1,0)+IF(ISNUMBER(SEARCH("NRF24L01无线通信模块",H256)),1,0)+IF(ISNUMBER(SEARCH("蓝牙模块",H256)),1,0)+IF(ISNUMBER(SEARCH("语音识别模块",H256)),1,0)+IF(ISNUMBER(SEARCH("语音播报模块",H256)),1,0)+IF(ISNUMBER(SEARCH("RFID模块",H256)),1,0)+IF(ISNUMBER(SEARCH("RFID读卡模块",H256)),1,0)+IF(ISNUMBER(SEARCH("GPS定位模块",H256)),1,0)+IF(ISNUMBER(SEARCH("GSM通信模块",H256)),1,0)+IF(ISNUMBER(SEARCH("摄像头模块",H256)),1,0)+IF(ISNUMBER(SEARCH("人脸识别模块",H256)),1,0)+IF(ISNUMBER(SEARCH("手势识别传感器",H256)),1,0)))</f>
        <v>135</v>
      </c>
      <c r="M256" s="12">
        <f>计价规则!$B$4+计价规则!$B$5*IF(H256="",0,LEN(H256)-LEN(SUBSTITUTE(H256,"、",""))+1)</f>
        <v>150</v>
      </c>
      <c r="N256" s="12">
        <v>200</v>
      </c>
      <c r="O256" s="12">
        <f>计价规则!$B$6</f>
        <v>100</v>
      </c>
      <c r="P256" s="12">
        <f>计价规则!$B$6</f>
        <v>100</v>
      </c>
      <c r="Q256" s="12">
        <f>计价规则!$B$6</f>
        <v>100</v>
      </c>
      <c r="R256" s="12">
        <f>计价规则!$B$7</f>
        <v>400</v>
      </c>
      <c r="S256" s="8" t="s">
        <v>26</v>
      </c>
      <c r="T256" s="13">
        <v>255</v>
      </c>
    </row>
    <row r="257" ht="26" customHeight="1" spans="1:20">
      <c r="A257" s="8">
        <f t="shared" si="3"/>
        <v>256</v>
      </c>
      <c r="B257" s="8" t="s">
        <v>683</v>
      </c>
      <c r="C257" s="14" t="s">
        <v>748</v>
      </c>
      <c r="D257" s="10" t="s">
        <v>749</v>
      </c>
      <c r="E257" s="11" t="s">
        <v>283</v>
      </c>
      <c r="F257" s="11"/>
      <c r="G257" s="10" t="s">
        <v>750</v>
      </c>
      <c r="H257" s="10" t="s">
        <v>751</v>
      </c>
      <c r="I257" s="10"/>
      <c r="J257" s="10"/>
      <c r="K257" s="10"/>
      <c r="L257" s="12">
        <f>计价规则!$B$2+计价规则!$B$3*MAX(0,IF(H257="",0,LEN(H257)-LEN(SUBSTITUTE(H257,"、",""))+1)-(IF(ISNUMBER(SEARCH("WiFi通信模块",H257)),1,0)+IF(ISNUMBER(SEARCH("ESP8266 WiFi模块",H257)),1,0)+IF(ISNUMBER(SEARCH("NRF24L01无线通信模块",H257)),1,0)+IF(ISNUMBER(SEARCH("蓝牙模块",H257)),1,0)+IF(ISNUMBER(SEARCH("语音识别模块",H257)),1,0)+IF(ISNUMBER(SEARCH("语音播报模块",H257)),1,0)+IF(ISNUMBER(SEARCH("RFID模块",H257)),1,0)+IF(ISNUMBER(SEARCH("RFID读卡模块",H257)),1,0)+IF(ISNUMBER(SEARCH("GPS定位模块",H257)),1,0)+IF(ISNUMBER(SEARCH("GSM通信模块",H257)),1,0)+IF(ISNUMBER(SEARCH("摄像头模块",H257)),1,0)+IF(ISNUMBER(SEARCH("人脸识别模块",H257)),1,0)+IF(ISNUMBER(SEARCH("手势识别传感器",H257)),1,0)))</f>
        <v>120</v>
      </c>
      <c r="M257" s="12">
        <f>计价规则!$B$4+计价规则!$B$5*IF(H257="",0,LEN(H257)-LEN(SUBSTITUTE(H257,"、",""))+1)</f>
        <v>130</v>
      </c>
      <c r="N257" s="12">
        <v>200</v>
      </c>
      <c r="O257" s="12">
        <f>计价规则!$B$6</f>
        <v>100</v>
      </c>
      <c r="P257" s="12">
        <f>计价规则!$B$6</f>
        <v>100</v>
      </c>
      <c r="Q257" s="12">
        <f>计价规则!$B$6</f>
        <v>100</v>
      </c>
      <c r="R257" s="12">
        <f>计价规则!$B$7</f>
        <v>400</v>
      </c>
      <c r="S257" s="8" t="s">
        <v>26</v>
      </c>
      <c r="T257" s="13">
        <v>256</v>
      </c>
    </row>
    <row r="258" ht="26" customHeight="1" spans="1:20">
      <c r="A258" s="8">
        <f t="shared" ref="A258:A321" si="4">IF(B258&lt;&gt;"",ROW()-1,"")</f>
        <v>257</v>
      </c>
      <c r="B258" s="8" t="s">
        <v>683</v>
      </c>
      <c r="C258" s="14" t="s">
        <v>752</v>
      </c>
      <c r="D258" s="10" t="s">
        <v>753</v>
      </c>
      <c r="E258" s="11" t="s">
        <v>283</v>
      </c>
      <c r="F258" s="11"/>
      <c r="G258" s="10" t="s">
        <v>754</v>
      </c>
      <c r="H258" s="10" t="s">
        <v>755</v>
      </c>
      <c r="I258" s="10"/>
      <c r="J258" s="10"/>
      <c r="K258" s="10"/>
      <c r="L258" s="12">
        <f>计价规则!$B$2+计价规则!$B$3*MAX(0,IF(H258="",0,LEN(H258)-LEN(SUBSTITUTE(H258,"、",""))+1)-(IF(ISNUMBER(SEARCH("WiFi通信模块",H258)),1,0)+IF(ISNUMBER(SEARCH("ESP8266 WiFi模块",H258)),1,0)+IF(ISNUMBER(SEARCH("NRF24L01无线通信模块",H258)),1,0)+IF(ISNUMBER(SEARCH("蓝牙模块",H258)),1,0)+IF(ISNUMBER(SEARCH("语音识别模块",H258)),1,0)+IF(ISNUMBER(SEARCH("语音播报模块",H258)),1,0)+IF(ISNUMBER(SEARCH("RFID模块",H258)),1,0)+IF(ISNUMBER(SEARCH("RFID读卡模块",H258)),1,0)+IF(ISNUMBER(SEARCH("GPS定位模块",H258)),1,0)+IF(ISNUMBER(SEARCH("GSM通信模块",H258)),1,0)+IF(ISNUMBER(SEARCH("摄像头模块",H258)),1,0)+IF(ISNUMBER(SEARCH("人脸识别模块",H258)),1,0)+IF(ISNUMBER(SEARCH("手势识别传感器",H258)),1,0)))</f>
        <v>105</v>
      </c>
      <c r="M258" s="12">
        <f>计价规则!$B$4+计价规则!$B$5*IF(H258="",0,LEN(H258)-LEN(SUBSTITUTE(H258,"、",""))+1)</f>
        <v>110</v>
      </c>
      <c r="N258" s="12">
        <v>200</v>
      </c>
      <c r="O258" s="12">
        <f>计价规则!$B$6</f>
        <v>100</v>
      </c>
      <c r="P258" s="12">
        <f>计价规则!$B$6</f>
        <v>100</v>
      </c>
      <c r="Q258" s="12">
        <f>计价规则!$B$6</f>
        <v>100</v>
      </c>
      <c r="R258" s="12">
        <f>计价规则!$B$7</f>
        <v>400</v>
      </c>
      <c r="S258" s="8" t="s">
        <v>26</v>
      </c>
      <c r="T258" s="13">
        <v>257</v>
      </c>
    </row>
    <row r="259" ht="26" customHeight="1" spans="1:20">
      <c r="A259" s="8">
        <f t="shared" si="4"/>
        <v>258</v>
      </c>
      <c r="B259" s="8" t="s">
        <v>683</v>
      </c>
      <c r="C259" s="14" t="s">
        <v>756</v>
      </c>
      <c r="D259" s="10" t="s">
        <v>757</v>
      </c>
      <c r="E259" s="11" t="s">
        <v>283</v>
      </c>
      <c r="F259" s="11"/>
      <c r="G259" s="10" t="s">
        <v>758</v>
      </c>
      <c r="H259" s="10" t="s">
        <v>759</v>
      </c>
      <c r="I259" s="10"/>
      <c r="J259" s="10"/>
      <c r="K259" s="10"/>
      <c r="L259" s="12">
        <f>计价规则!$B$2+计价规则!$B$3*MAX(0,IF(H259="",0,LEN(H259)-LEN(SUBSTITUTE(H259,"、",""))+1)-(IF(ISNUMBER(SEARCH("WiFi通信模块",H259)),1,0)+IF(ISNUMBER(SEARCH("ESP8266 WiFi模块",H259)),1,0)+IF(ISNUMBER(SEARCH("NRF24L01无线通信模块",H259)),1,0)+IF(ISNUMBER(SEARCH("蓝牙模块",H259)),1,0)+IF(ISNUMBER(SEARCH("语音识别模块",H259)),1,0)+IF(ISNUMBER(SEARCH("语音播报模块",H259)),1,0)+IF(ISNUMBER(SEARCH("RFID模块",H259)),1,0)+IF(ISNUMBER(SEARCH("RFID读卡模块",H259)),1,0)+IF(ISNUMBER(SEARCH("GPS定位模块",H259)),1,0)+IF(ISNUMBER(SEARCH("GSM通信模块",H259)),1,0)+IF(ISNUMBER(SEARCH("摄像头模块",H259)),1,0)+IF(ISNUMBER(SEARCH("人脸识别模块",H259)),1,0)+IF(ISNUMBER(SEARCH("手势识别传感器",H259)),1,0)))</f>
        <v>105</v>
      </c>
      <c r="M259" s="12">
        <f>计价规则!$B$4+计价规则!$B$5*IF(H259="",0,LEN(H259)-LEN(SUBSTITUTE(H259,"、",""))+1)</f>
        <v>110</v>
      </c>
      <c r="N259" s="12">
        <v>200</v>
      </c>
      <c r="O259" s="12">
        <f>计价规则!$B$6</f>
        <v>100</v>
      </c>
      <c r="P259" s="12">
        <f>计价规则!$B$6</f>
        <v>100</v>
      </c>
      <c r="Q259" s="12">
        <f>计价规则!$B$6</f>
        <v>100</v>
      </c>
      <c r="R259" s="12">
        <f>计价规则!$B$7</f>
        <v>400</v>
      </c>
      <c r="S259" s="8" t="s">
        <v>26</v>
      </c>
      <c r="T259" s="13">
        <v>258</v>
      </c>
    </row>
    <row r="260" ht="26" customHeight="1" spans="1:20">
      <c r="A260" s="8">
        <f t="shared" si="4"/>
        <v>259</v>
      </c>
      <c r="B260" s="8" t="s">
        <v>683</v>
      </c>
      <c r="C260" s="14" t="s">
        <v>760</v>
      </c>
      <c r="D260" s="10" t="s">
        <v>761</v>
      </c>
      <c r="E260" s="11" t="s">
        <v>283</v>
      </c>
      <c r="F260" s="11"/>
      <c r="G260" s="10" t="s">
        <v>54</v>
      </c>
      <c r="H260" s="10" t="s">
        <v>762</v>
      </c>
      <c r="I260" s="10"/>
      <c r="J260" s="10"/>
      <c r="K260" s="10"/>
      <c r="L260" s="12">
        <f>计价规则!$B$2+计价规则!$B$3*MAX(0,IF(H260="",0,LEN(H260)-LEN(SUBSTITUTE(H260,"、",""))+1)-(IF(ISNUMBER(SEARCH("WiFi通信模块",H260)),1,0)+IF(ISNUMBER(SEARCH("ESP8266 WiFi模块",H260)),1,0)+IF(ISNUMBER(SEARCH("NRF24L01无线通信模块",H260)),1,0)+IF(ISNUMBER(SEARCH("蓝牙模块",H260)),1,0)+IF(ISNUMBER(SEARCH("语音识别模块",H260)),1,0)+IF(ISNUMBER(SEARCH("语音播报模块",H260)),1,0)+IF(ISNUMBER(SEARCH("RFID模块",H260)),1,0)+IF(ISNUMBER(SEARCH("RFID读卡模块",H260)),1,0)+IF(ISNUMBER(SEARCH("GPS定位模块",H260)),1,0)+IF(ISNUMBER(SEARCH("GSM通信模块",H260)),1,0)+IF(ISNUMBER(SEARCH("摄像头模块",H260)),1,0)+IF(ISNUMBER(SEARCH("人脸识别模块",H260)),1,0)+IF(ISNUMBER(SEARCH("手势识别传感器",H260)),1,0)))</f>
        <v>90</v>
      </c>
      <c r="M260" s="12">
        <f>计价规则!$B$4+计价规则!$B$5*IF(H260="",0,LEN(H260)-LEN(SUBSTITUTE(H260,"、",""))+1)</f>
        <v>90</v>
      </c>
      <c r="N260" s="12">
        <v>200</v>
      </c>
      <c r="O260" s="12">
        <f>计价规则!$B$6</f>
        <v>100</v>
      </c>
      <c r="P260" s="12">
        <f>计价规则!$B$6</f>
        <v>100</v>
      </c>
      <c r="Q260" s="12">
        <f>计价规则!$B$6</f>
        <v>100</v>
      </c>
      <c r="R260" s="12">
        <f>计价规则!$B$7</f>
        <v>400</v>
      </c>
      <c r="S260" s="8" t="s">
        <v>26</v>
      </c>
      <c r="T260" s="13">
        <v>259</v>
      </c>
    </row>
    <row r="261" ht="26" customHeight="1" spans="1:20">
      <c r="A261" s="8">
        <f t="shared" si="4"/>
        <v>260</v>
      </c>
      <c r="B261" s="8" t="s">
        <v>683</v>
      </c>
      <c r="C261" s="14" t="s">
        <v>763</v>
      </c>
      <c r="D261" s="10" t="s">
        <v>764</v>
      </c>
      <c r="E261" s="11" t="s">
        <v>283</v>
      </c>
      <c r="F261" s="11"/>
      <c r="G261" s="10" t="s">
        <v>588</v>
      </c>
      <c r="H261" s="10" t="s">
        <v>624</v>
      </c>
      <c r="I261" s="10"/>
      <c r="J261" s="10"/>
      <c r="K261" s="10"/>
      <c r="L261" s="12">
        <f>计价规则!$B$2+计价规则!$B$3*MAX(0,IF(H261="",0,LEN(H261)-LEN(SUBSTITUTE(H261,"、",""))+1)-(IF(ISNUMBER(SEARCH("WiFi通信模块",H261)),1,0)+IF(ISNUMBER(SEARCH("ESP8266 WiFi模块",H261)),1,0)+IF(ISNUMBER(SEARCH("NRF24L01无线通信模块",H261)),1,0)+IF(ISNUMBER(SEARCH("蓝牙模块",H261)),1,0)+IF(ISNUMBER(SEARCH("语音识别模块",H261)),1,0)+IF(ISNUMBER(SEARCH("语音播报模块",H261)),1,0)+IF(ISNUMBER(SEARCH("RFID模块",H261)),1,0)+IF(ISNUMBER(SEARCH("RFID读卡模块",H261)),1,0)+IF(ISNUMBER(SEARCH("GPS定位模块",H261)),1,0)+IF(ISNUMBER(SEARCH("GSM通信模块",H261)),1,0)+IF(ISNUMBER(SEARCH("摄像头模块",H261)),1,0)+IF(ISNUMBER(SEARCH("人脸识别模块",H261)),1,0)+IF(ISNUMBER(SEARCH("手势识别传感器",H261)),1,0)))</f>
        <v>105</v>
      </c>
      <c r="M261" s="12">
        <f>计价规则!$B$4+计价规则!$B$5*IF(H261="",0,LEN(H261)-LEN(SUBSTITUTE(H261,"、",""))+1)</f>
        <v>110</v>
      </c>
      <c r="N261" s="12">
        <v>200</v>
      </c>
      <c r="O261" s="12">
        <f>计价规则!$B$6</f>
        <v>100</v>
      </c>
      <c r="P261" s="12">
        <f>计价规则!$B$6</f>
        <v>100</v>
      </c>
      <c r="Q261" s="12">
        <f>计价规则!$B$6</f>
        <v>100</v>
      </c>
      <c r="R261" s="12">
        <f>计价规则!$B$7</f>
        <v>400</v>
      </c>
      <c r="S261" s="8" t="s">
        <v>26</v>
      </c>
      <c r="T261" s="13">
        <v>260</v>
      </c>
    </row>
    <row r="262" ht="26" customHeight="1" spans="1:20">
      <c r="A262" s="8">
        <f t="shared" si="4"/>
        <v>261</v>
      </c>
      <c r="B262" s="8" t="s">
        <v>683</v>
      </c>
      <c r="C262" s="14" t="s">
        <v>765</v>
      </c>
      <c r="D262" s="10" t="s">
        <v>766</v>
      </c>
      <c r="E262" s="11" t="s">
        <v>283</v>
      </c>
      <c r="F262" s="11"/>
      <c r="G262" s="10" t="s">
        <v>54</v>
      </c>
      <c r="H262" s="10" t="s">
        <v>767</v>
      </c>
      <c r="I262" s="10"/>
      <c r="J262" s="10"/>
      <c r="K262" s="10"/>
      <c r="L262" s="12">
        <f>计价规则!$B$2+计价规则!$B$3*MAX(0,IF(H262="",0,LEN(H262)-LEN(SUBSTITUTE(H262,"、",""))+1)-(IF(ISNUMBER(SEARCH("WiFi通信模块",H262)),1,0)+IF(ISNUMBER(SEARCH("ESP8266 WiFi模块",H262)),1,0)+IF(ISNUMBER(SEARCH("NRF24L01无线通信模块",H262)),1,0)+IF(ISNUMBER(SEARCH("蓝牙模块",H262)),1,0)+IF(ISNUMBER(SEARCH("语音识别模块",H262)),1,0)+IF(ISNUMBER(SEARCH("语音播报模块",H262)),1,0)+IF(ISNUMBER(SEARCH("RFID模块",H262)),1,0)+IF(ISNUMBER(SEARCH("RFID读卡模块",H262)),1,0)+IF(ISNUMBER(SEARCH("GPS定位模块",H262)),1,0)+IF(ISNUMBER(SEARCH("GSM通信模块",H262)),1,0)+IF(ISNUMBER(SEARCH("摄像头模块",H262)),1,0)+IF(ISNUMBER(SEARCH("人脸识别模块",H262)),1,0)+IF(ISNUMBER(SEARCH("手势识别传感器",H262)),1,0)))</f>
        <v>105</v>
      </c>
      <c r="M262" s="12">
        <f>计价规则!$B$4+计价规则!$B$5*IF(H262="",0,LEN(H262)-LEN(SUBSTITUTE(H262,"、",""))+1)</f>
        <v>110</v>
      </c>
      <c r="N262" s="12">
        <v>200</v>
      </c>
      <c r="O262" s="12">
        <f>计价规则!$B$6</f>
        <v>100</v>
      </c>
      <c r="P262" s="12">
        <f>计价规则!$B$6</f>
        <v>100</v>
      </c>
      <c r="Q262" s="12">
        <f>计价规则!$B$6</f>
        <v>100</v>
      </c>
      <c r="R262" s="12">
        <f>计价规则!$B$7</f>
        <v>400</v>
      </c>
      <c r="S262" s="8" t="s">
        <v>26</v>
      </c>
      <c r="T262" s="13">
        <v>261</v>
      </c>
    </row>
    <row r="263" ht="26" customHeight="1" spans="1:20">
      <c r="A263" s="8">
        <f t="shared" si="4"/>
        <v>262</v>
      </c>
      <c r="B263" s="8" t="s">
        <v>683</v>
      </c>
      <c r="C263" s="14" t="s">
        <v>768</v>
      </c>
      <c r="D263" s="10" t="s">
        <v>769</v>
      </c>
      <c r="E263" s="11" t="s">
        <v>283</v>
      </c>
      <c r="F263" s="11"/>
      <c r="G263" s="10" t="s">
        <v>54</v>
      </c>
      <c r="H263" s="10" t="s">
        <v>600</v>
      </c>
      <c r="I263" s="10"/>
      <c r="J263" s="10"/>
      <c r="K263" s="10"/>
      <c r="L263" s="12">
        <f>计价规则!$B$2+计价规则!$B$3*MAX(0,IF(H263="",0,LEN(H263)-LEN(SUBSTITUTE(H263,"、",""))+1)-(IF(ISNUMBER(SEARCH("WiFi通信模块",H263)),1,0)+IF(ISNUMBER(SEARCH("ESP8266 WiFi模块",H263)),1,0)+IF(ISNUMBER(SEARCH("NRF24L01无线通信模块",H263)),1,0)+IF(ISNUMBER(SEARCH("蓝牙模块",H263)),1,0)+IF(ISNUMBER(SEARCH("语音识别模块",H263)),1,0)+IF(ISNUMBER(SEARCH("语音播报模块",H263)),1,0)+IF(ISNUMBER(SEARCH("RFID模块",H263)),1,0)+IF(ISNUMBER(SEARCH("RFID读卡模块",H263)),1,0)+IF(ISNUMBER(SEARCH("GPS定位模块",H263)),1,0)+IF(ISNUMBER(SEARCH("GSM通信模块",H263)),1,0)+IF(ISNUMBER(SEARCH("摄像头模块",H263)),1,0)+IF(ISNUMBER(SEARCH("人脸识别模块",H263)),1,0)+IF(ISNUMBER(SEARCH("手势识别传感器",H263)),1,0)))</f>
        <v>105</v>
      </c>
      <c r="M263" s="12">
        <f>计价规则!$B$4+计价规则!$B$5*IF(H263="",0,LEN(H263)-LEN(SUBSTITUTE(H263,"、",""))+1)</f>
        <v>110</v>
      </c>
      <c r="N263" s="12">
        <v>200</v>
      </c>
      <c r="O263" s="12">
        <f>计价规则!$B$6</f>
        <v>100</v>
      </c>
      <c r="P263" s="12">
        <f>计价规则!$B$6</f>
        <v>100</v>
      </c>
      <c r="Q263" s="12">
        <f>计价规则!$B$6</f>
        <v>100</v>
      </c>
      <c r="R263" s="12">
        <f>计价规则!$B$7</f>
        <v>400</v>
      </c>
      <c r="S263" s="8" t="s">
        <v>26</v>
      </c>
      <c r="T263" s="13">
        <v>262</v>
      </c>
    </row>
    <row r="264" ht="26" customHeight="1" spans="1:20">
      <c r="A264" s="8">
        <f t="shared" si="4"/>
        <v>263</v>
      </c>
      <c r="B264" s="8" t="s">
        <v>683</v>
      </c>
      <c r="C264" s="14" t="s">
        <v>770</v>
      </c>
      <c r="D264" s="10" t="s">
        <v>771</v>
      </c>
      <c r="E264" s="11" t="s">
        <v>283</v>
      </c>
      <c r="F264" s="11"/>
      <c r="G264" s="10" t="s">
        <v>131</v>
      </c>
      <c r="H264" s="10" t="s">
        <v>166</v>
      </c>
      <c r="I264" s="10"/>
      <c r="J264" s="10"/>
      <c r="K264" s="10"/>
      <c r="L264" s="12">
        <f>计价规则!$B$2+计价规则!$B$3*MAX(0,IF(H264="",0,LEN(H264)-LEN(SUBSTITUTE(H264,"、",""))+1)-(IF(ISNUMBER(SEARCH("WiFi通信模块",H264)),1,0)+IF(ISNUMBER(SEARCH("ESP8266 WiFi模块",H264)),1,0)+IF(ISNUMBER(SEARCH("NRF24L01无线通信模块",H264)),1,0)+IF(ISNUMBER(SEARCH("蓝牙模块",H264)),1,0)+IF(ISNUMBER(SEARCH("语音识别模块",H264)),1,0)+IF(ISNUMBER(SEARCH("语音播报模块",H264)),1,0)+IF(ISNUMBER(SEARCH("RFID模块",H264)),1,0)+IF(ISNUMBER(SEARCH("RFID读卡模块",H264)),1,0)+IF(ISNUMBER(SEARCH("GPS定位模块",H264)),1,0)+IF(ISNUMBER(SEARCH("GSM通信模块",H264)),1,0)+IF(ISNUMBER(SEARCH("摄像头模块",H264)),1,0)+IF(ISNUMBER(SEARCH("人脸识别模块",H264)),1,0)+IF(ISNUMBER(SEARCH("手势识别传感器",H264)),1,0)))</f>
        <v>90</v>
      </c>
      <c r="M264" s="12">
        <f>计价规则!$B$4+计价规则!$B$5*IF(H264="",0,LEN(H264)-LEN(SUBSTITUTE(H264,"、",""))+1)</f>
        <v>90</v>
      </c>
      <c r="N264" s="12">
        <v>200</v>
      </c>
      <c r="O264" s="12">
        <f>计价规则!$B$6</f>
        <v>100</v>
      </c>
      <c r="P264" s="12">
        <f>计价规则!$B$6</f>
        <v>100</v>
      </c>
      <c r="Q264" s="12">
        <f>计价规则!$B$6</f>
        <v>100</v>
      </c>
      <c r="R264" s="12">
        <f>计价规则!$B$7</f>
        <v>400</v>
      </c>
      <c r="S264" s="8" t="s">
        <v>26</v>
      </c>
      <c r="T264" s="13">
        <v>263</v>
      </c>
    </row>
    <row r="265" ht="26" customHeight="1" spans="1:20">
      <c r="A265" s="8">
        <f t="shared" si="4"/>
        <v>264</v>
      </c>
      <c r="B265" s="8" t="s">
        <v>683</v>
      </c>
      <c r="C265" s="14" t="s">
        <v>772</v>
      </c>
      <c r="D265" s="10" t="s">
        <v>773</v>
      </c>
      <c r="E265" s="11" t="s">
        <v>283</v>
      </c>
      <c r="F265" s="11"/>
      <c r="G265" s="10" t="s">
        <v>414</v>
      </c>
      <c r="H265" s="10" t="s">
        <v>415</v>
      </c>
      <c r="I265" s="10"/>
      <c r="J265" s="10"/>
      <c r="K265" s="10"/>
      <c r="L265" s="12">
        <f>计价规则!$B$2+计价规则!$B$3*MAX(0,IF(H265="",0,LEN(H265)-LEN(SUBSTITUTE(H265,"、",""))+1)-(IF(ISNUMBER(SEARCH("WiFi通信模块",H265)),1,0)+IF(ISNUMBER(SEARCH("ESP8266 WiFi模块",H265)),1,0)+IF(ISNUMBER(SEARCH("NRF24L01无线通信模块",H265)),1,0)+IF(ISNUMBER(SEARCH("蓝牙模块",H265)),1,0)+IF(ISNUMBER(SEARCH("语音识别模块",H265)),1,0)+IF(ISNUMBER(SEARCH("语音播报模块",H265)),1,0)+IF(ISNUMBER(SEARCH("RFID模块",H265)),1,0)+IF(ISNUMBER(SEARCH("RFID读卡模块",H265)),1,0)+IF(ISNUMBER(SEARCH("GPS定位模块",H265)),1,0)+IF(ISNUMBER(SEARCH("GSM通信模块",H265)),1,0)+IF(ISNUMBER(SEARCH("摄像头模块",H265)),1,0)+IF(ISNUMBER(SEARCH("人脸识别模块",H265)),1,0)+IF(ISNUMBER(SEARCH("手势识别传感器",H265)),1,0)))</f>
        <v>105</v>
      </c>
      <c r="M265" s="12">
        <f>计价规则!$B$4+计价规则!$B$5*IF(H265="",0,LEN(H265)-LEN(SUBSTITUTE(H265,"、",""))+1)</f>
        <v>110</v>
      </c>
      <c r="N265" s="12">
        <v>200</v>
      </c>
      <c r="O265" s="12">
        <f>计价规则!$B$6</f>
        <v>100</v>
      </c>
      <c r="P265" s="12">
        <f>计价规则!$B$6</f>
        <v>100</v>
      </c>
      <c r="Q265" s="12">
        <f>计价规则!$B$6</f>
        <v>100</v>
      </c>
      <c r="R265" s="12">
        <f>计价规则!$B$7</f>
        <v>400</v>
      </c>
      <c r="S265" s="8" t="s">
        <v>26</v>
      </c>
      <c r="T265" s="13">
        <v>264</v>
      </c>
    </row>
    <row r="266" ht="26" customHeight="1" spans="1:20">
      <c r="A266" s="8">
        <f t="shared" si="4"/>
        <v>265</v>
      </c>
      <c r="B266" s="8" t="s">
        <v>683</v>
      </c>
      <c r="C266" s="14" t="s">
        <v>774</v>
      </c>
      <c r="D266" s="10" t="s">
        <v>775</v>
      </c>
      <c r="E266" s="11" t="s">
        <v>283</v>
      </c>
      <c r="F266" s="11"/>
      <c r="G266" s="10" t="s">
        <v>776</v>
      </c>
      <c r="H266" s="10" t="s">
        <v>777</v>
      </c>
      <c r="I266" s="10"/>
      <c r="J266" s="10"/>
      <c r="K266" s="10" t="s">
        <v>120</v>
      </c>
      <c r="L266" s="12">
        <f>计价规则!$B$2+计价规则!$B$3*MAX(0,IF(H266="",0,LEN(H266)-LEN(SUBSTITUTE(H266,"、",""))+1)-(IF(ISNUMBER(SEARCH("WiFi通信模块",H266)),1,0)+IF(ISNUMBER(SEARCH("ESP8266 WiFi模块",H266)),1,0)+IF(ISNUMBER(SEARCH("NRF24L01无线通信模块",H266)),1,0)+IF(ISNUMBER(SEARCH("蓝牙模块",H266)),1,0)+IF(ISNUMBER(SEARCH("语音识别模块",H266)),1,0)+IF(ISNUMBER(SEARCH("语音播报模块",H266)),1,0)+IF(ISNUMBER(SEARCH("RFID模块",H266)),1,0)+IF(ISNUMBER(SEARCH("RFID读卡模块",H266)),1,0)+IF(ISNUMBER(SEARCH("GPS定位模块",H266)),1,0)+IF(ISNUMBER(SEARCH("GSM通信模块",H266)),1,0)+IF(ISNUMBER(SEARCH("摄像头模块",H266)),1,0)+IF(ISNUMBER(SEARCH("人脸识别模块",H266)),1,0)+IF(ISNUMBER(SEARCH("手势识别传感器",H266)),1,0)))</f>
        <v>90</v>
      </c>
      <c r="M266" s="12">
        <f>计价规则!$B$4+计价规则!$B$5*IF(H266="",0,LEN(H266)-LEN(SUBSTITUTE(H266,"、",""))+1)</f>
        <v>110</v>
      </c>
      <c r="N266" s="12">
        <v>200</v>
      </c>
      <c r="O266" s="12">
        <f>计价规则!$B$6</f>
        <v>100</v>
      </c>
      <c r="P266" s="12">
        <f>计价规则!$B$6</f>
        <v>100</v>
      </c>
      <c r="Q266" s="12">
        <f>计价规则!$B$6</f>
        <v>100</v>
      </c>
      <c r="R266" s="12">
        <f>计价规则!$B$7</f>
        <v>400</v>
      </c>
      <c r="S266" s="8" t="s">
        <v>26</v>
      </c>
      <c r="T266" s="13">
        <v>265</v>
      </c>
    </row>
    <row r="267" ht="26" customHeight="1" spans="1:20">
      <c r="A267" s="8">
        <f t="shared" si="4"/>
        <v>266</v>
      </c>
      <c r="B267" s="8" t="s">
        <v>683</v>
      </c>
      <c r="C267" s="14" t="s">
        <v>778</v>
      </c>
      <c r="D267" s="10" t="s">
        <v>779</v>
      </c>
      <c r="E267" s="11" t="s">
        <v>283</v>
      </c>
      <c r="F267" s="11"/>
      <c r="G267" s="10" t="s">
        <v>776</v>
      </c>
      <c r="H267" s="10" t="s">
        <v>780</v>
      </c>
      <c r="I267" s="10"/>
      <c r="J267" s="10"/>
      <c r="K267" s="10" t="s">
        <v>120</v>
      </c>
      <c r="L267" s="12">
        <f>计价规则!$B$2+计价规则!$B$3*MAX(0,IF(H267="",0,LEN(H267)-LEN(SUBSTITUTE(H267,"、",""))+1)-(IF(ISNUMBER(SEARCH("WiFi通信模块",H267)),1,0)+IF(ISNUMBER(SEARCH("ESP8266 WiFi模块",H267)),1,0)+IF(ISNUMBER(SEARCH("NRF24L01无线通信模块",H267)),1,0)+IF(ISNUMBER(SEARCH("蓝牙模块",H267)),1,0)+IF(ISNUMBER(SEARCH("语音识别模块",H267)),1,0)+IF(ISNUMBER(SEARCH("语音播报模块",H267)),1,0)+IF(ISNUMBER(SEARCH("RFID模块",H267)),1,0)+IF(ISNUMBER(SEARCH("RFID读卡模块",H267)),1,0)+IF(ISNUMBER(SEARCH("GPS定位模块",H267)),1,0)+IF(ISNUMBER(SEARCH("GSM通信模块",H267)),1,0)+IF(ISNUMBER(SEARCH("摄像头模块",H267)),1,0)+IF(ISNUMBER(SEARCH("人脸识别模块",H267)),1,0)+IF(ISNUMBER(SEARCH("手势识别传感器",H267)),1,0)))</f>
        <v>90</v>
      </c>
      <c r="M267" s="12">
        <f>计价规则!$B$4+计价规则!$B$5*IF(H267="",0,LEN(H267)-LEN(SUBSTITUTE(H267,"、",""))+1)</f>
        <v>110</v>
      </c>
      <c r="N267" s="12">
        <v>200</v>
      </c>
      <c r="O267" s="12">
        <f>计价规则!$B$6</f>
        <v>100</v>
      </c>
      <c r="P267" s="12">
        <f>计价规则!$B$6</f>
        <v>100</v>
      </c>
      <c r="Q267" s="12">
        <f>计价规则!$B$6</f>
        <v>100</v>
      </c>
      <c r="R267" s="12">
        <f>计价规则!$B$7</f>
        <v>400</v>
      </c>
      <c r="S267" s="8" t="s">
        <v>26</v>
      </c>
      <c r="T267" s="13">
        <v>266</v>
      </c>
    </row>
    <row r="268" ht="26" customHeight="1" spans="1:20">
      <c r="A268" s="8">
        <f t="shared" si="4"/>
        <v>267</v>
      </c>
      <c r="B268" s="8" t="s">
        <v>683</v>
      </c>
      <c r="C268" s="14" t="s">
        <v>781</v>
      </c>
      <c r="D268" s="10" t="s">
        <v>782</v>
      </c>
      <c r="E268" s="11" t="s">
        <v>283</v>
      </c>
      <c r="F268" s="11"/>
      <c r="G268" s="10" t="s">
        <v>24</v>
      </c>
      <c r="H268" s="10" t="s">
        <v>606</v>
      </c>
      <c r="I268" s="10"/>
      <c r="J268" s="10"/>
      <c r="K268" s="10"/>
      <c r="L268" s="12">
        <f>计价规则!$B$2+计价规则!$B$3*MAX(0,IF(H268="",0,LEN(H268)-LEN(SUBSTITUTE(H268,"、",""))+1)-(IF(ISNUMBER(SEARCH("WiFi通信模块",H268)),1,0)+IF(ISNUMBER(SEARCH("ESP8266 WiFi模块",H268)),1,0)+IF(ISNUMBER(SEARCH("NRF24L01无线通信模块",H268)),1,0)+IF(ISNUMBER(SEARCH("蓝牙模块",H268)),1,0)+IF(ISNUMBER(SEARCH("语音识别模块",H268)),1,0)+IF(ISNUMBER(SEARCH("语音播报模块",H268)),1,0)+IF(ISNUMBER(SEARCH("RFID模块",H268)),1,0)+IF(ISNUMBER(SEARCH("RFID读卡模块",H268)),1,0)+IF(ISNUMBER(SEARCH("GPS定位模块",H268)),1,0)+IF(ISNUMBER(SEARCH("GSM通信模块",H268)),1,0)+IF(ISNUMBER(SEARCH("摄像头模块",H268)),1,0)+IF(ISNUMBER(SEARCH("人脸识别模块",H268)),1,0)+IF(ISNUMBER(SEARCH("手势识别传感器",H268)),1,0)))</f>
        <v>120</v>
      </c>
      <c r="M268" s="12">
        <f>计价规则!$B$4+计价规则!$B$5*IF(H268="",0,LEN(H268)-LEN(SUBSTITUTE(H268,"、",""))+1)</f>
        <v>130</v>
      </c>
      <c r="N268" s="12">
        <v>200</v>
      </c>
      <c r="O268" s="12">
        <f>计价规则!$B$6</f>
        <v>100</v>
      </c>
      <c r="P268" s="12">
        <f>计价规则!$B$6</f>
        <v>100</v>
      </c>
      <c r="Q268" s="12">
        <f>计价规则!$B$6</f>
        <v>100</v>
      </c>
      <c r="R268" s="12">
        <f>计价规则!$B$7</f>
        <v>400</v>
      </c>
      <c r="S268" s="8" t="s">
        <v>26</v>
      </c>
      <c r="T268" s="13">
        <v>267</v>
      </c>
    </row>
    <row r="269" ht="26" customHeight="1" spans="1:20">
      <c r="A269" s="8">
        <f t="shared" si="4"/>
        <v>268</v>
      </c>
      <c r="B269" s="8" t="s">
        <v>683</v>
      </c>
      <c r="C269" s="14" t="s">
        <v>783</v>
      </c>
      <c r="D269" s="10" t="s">
        <v>784</v>
      </c>
      <c r="E269" s="11" t="s">
        <v>283</v>
      </c>
      <c r="F269" s="11"/>
      <c r="G269" s="10" t="s">
        <v>81</v>
      </c>
      <c r="H269" s="10" t="s">
        <v>396</v>
      </c>
      <c r="I269" s="10"/>
      <c r="J269" s="10"/>
      <c r="K269" s="10"/>
      <c r="L269" s="12">
        <f>计价规则!$B$2+计价规则!$B$3*MAX(0,IF(H269="",0,LEN(H269)-LEN(SUBSTITUTE(H269,"、",""))+1)-(IF(ISNUMBER(SEARCH("WiFi通信模块",H269)),1,0)+IF(ISNUMBER(SEARCH("ESP8266 WiFi模块",H269)),1,0)+IF(ISNUMBER(SEARCH("NRF24L01无线通信模块",H269)),1,0)+IF(ISNUMBER(SEARCH("蓝牙模块",H269)),1,0)+IF(ISNUMBER(SEARCH("语音识别模块",H269)),1,0)+IF(ISNUMBER(SEARCH("语音播报模块",H269)),1,0)+IF(ISNUMBER(SEARCH("RFID模块",H269)),1,0)+IF(ISNUMBER(SEARCH("RFID读卡模块",H269)),1,0)+IF(ISNUMBER(SEARCH("GPS定位模块",H269)),1,0)+IF(ISNUMBER(SEARCH("GSM通信模块",H269)),1,0)+IF(ISNUMBER(SEARCH("摄像头模块",H269)),1,0)+IF(ISNUMBER(SEARCH("人脸识别模块",H269)),1,0)+IF(ISNUMBER(SEARCH("手势识别传感器",H269)),1,0)))</f>
        <v>90</v>
      </c>
      <c r="M269" s="12">
        <f>计价规则!$B$4+计价规则!$B$5*IF(H269="",0,LEN(H269)-LEN(SUBSTITUTE(H269,"、",""))+1)</f>
        <v>90</v>
      </c>
      <c r="N269" s="12">
        <v>200</v>
      </c>
      <c r="O269" s="12">
        <f>计价规则!$B$6</f>
        <v>100</v>
      </c>
      <c r="P269" s="12">
        <f>计价规则!$B$6</f>
        <v>100</v>
      </c>
      <c r="Q269" s="12">
        <f>计价规则!$B$6</f>
        <v>100</v>
      </c>
      <c r="R269" s="12">
        <f>计价规则!$B$7</f>
        <v>400</v>
      </c>
      <c r="S269" s="8" t="s">
        <v>26</v>
      </c>
      <c r="T269" s="13">
        <v>268</v>
      </c>
    </row>
    <row r="270" ht="26" customHeight="1" spans="1:20">
      <c r="A270" s="8">
        <f t="shared" si="4"/>
        <v>269</v>
      </c>
      <c r="B270" s="8" t="s">
        <v>683</v>
      </c>
      <c r="C270" s="14" t="s">
        <v>785</v>
      </c>
      <c r="D270" s="10" t="s">
        <v>786</v>
      </c>
      <c r="E270" s="11" t="s">
        <v>283</v>
      </c>
      <c r="F270" s="11"/>
      <c r="G270" s="10" t="s">
        <v>81</v>
      </c>
      <c r="H270" s="10" t="s">
        <v>396</v>
      </c>
      <c r="I270" s="10"/>
      <c r="J270" s="10"/>
      <c r="K270" s="10"/>
      <c r="L270" s="12">
        <f>计价规则!$B$2+计价规则!$B$3*MAX(0,IF(H270="",0,LEN(H270)-LEN(SUBSTITUTE(H270,"、",""))+1)-(IF(ISNUMBER(SEARCH("WiFi通信模块",H270)),1,0)+IF(ISNUMBER(SEARCH("ESP8266 WiFi模块",H270)),1,0)+IF(ISNUMBER(SEARCH("NRF24L01无线通信模块",H270)),1,0)+IF(ISNUMBER(SEARCH("蓝牙模块",H270)),1,0)+IF(ISNUMBER(SEARCH("语音识别模块",H270)),1,0)+IF(ISNUMBER(SEARCH("语音播报模块",H270)),1,0)+IF(ISNUMBER(SEARCH("RFID模块",H270)),1,0)+IF(ISNUMBER(SEARCH("RFID读卡模块",H270)),1,0)+IF(ISNUMBER(SEARCH("GPS定位模块",H270)),1,0)+IF(ISNUMBER(SEARCH("GSM通信模块",H270)),1,0)+IF(ISNUMBER(SEARCH("摄像头模块",H270)),1,0)+IF(ISNUMBER(SEARCH("人脸识别模块",H270)),1,0)+IF(ISNUMBER(SEARCH("手势识别传感器",H270)),1,0)))</f>
        <v>90</v>
      </c>
      <c r="M270" s="12">
        <f>计价规则!$B$4+计价规则!$B$5*IF(H270="",0,LEN(H270)-LEN(SUBSTITUTE(H270,"、",""))+1)</f>
        <v>90</v>
      </c>
      <c r="N270" s="12">
        <v>200</v>
      </c>
      <c r="O270" s="12">
        <f>计价规则!$B$6</f>
        <v>100</v>
      </c>
      <c r="P270" s="12">
        <f>计价规则!$B$6</f>
        <v>100</v>
      </c>
      <c r="Q270" s="12">
        <f>计价规则!$B$6</f>
        <v>100</v>
      </c>
      <c r="R270" s="12">
        <f>计价规则!$B$7</f>
        <v>400</v>
      </c>
      <c r="S270" s="8" t="s">
        <v>26</v>
      </c>
      <c r="T270" s="13">
        <v>269</v>
      </c>
    </row>
    <row r="271" ht="26" customHeight="1" spans="1:20">
      <c r="A271" s="8">
        <f t="shared" si="4"/>
        <v>270</v>
      </c>
      <c r="B271" s="8" t="s">
        <v>683</v>
      </c>
      <c r="C271" s="14" t="s">
        <v>787</v>
      </c>
      <c r="D271" s="10" t="s">
        <v>788</v>
      </c>
      <c r="E271" s="11" t="s">
        <v>283</v>
      </c>
      <c r="F271" s="11"/>
      <c r="G271" s="10" t="s">
        <v>73</v>
      </c>
      <c r="H271" s="10" t="s">
        <v>789</v>
      </c>
      <c r="I271" s="10"/>
      <c r="J271" s="10"/>
      <c r="K271" s="10"/>
      <c r="L271" s="12">
        <f>计价规则!$B$2+计价规则!$B$3*MAX(0,IF(H271="",0,LEN(H271)-LEN(SUBSTITUTE(H271,"、",""))+1)-(IF(ISNUMBER(SEARCH("WiFi通信模块",H271)),1,0)+IF(ISNUMBER(SEARCH("ESP8266 WiFi模块",H271)),1,0)+IF(ISNUMBER(SEARCH("NRF24L01无线通信模块",H271)),1,0)+IF(ISNUMBER(SEARCH("蓝牙模块",H271)),1,0)+IF(ISNUMBER(SEARCH("语音识别模块",H271)),1,0)+IF(ISNUMBER(SEARCH("语音播报模块",H271)),1,0)+IF(ISNUMBER(SEARCH("RFID模块",H271)),1,0)+IF(ISNUMBER(SEARCH("RFID读卡模块",H271)),1,0)+IF(ISNUMBER(SEARCH("GPS定位模块",H271)),1,0)+IF(ISNUMBER(SEARCH("GSM通信模块",H271)),1,0)+IF(ISNUMBER(SEARCH("摄像头模块",H271)),1,0)+IF(ISNUMBER(SEARCH("人脸识别模块",H271)),1,0)+IF(ISNUMBER(SEARCH("手势识别传感器",H271)),1,0)))</f>
        <v>105</v>
      </c>
      <c r="M271" s="12">
        <f>计价规则!$B$4+计价规则!$B$5*IF(H271="",0,LEN(H271)-LEN(SUBSTITUTE(H271,"、",""))+1)</f>
        <v>110</v>
      </c>
      <c r="N271" s="12">
        <v>200</v>
      </c>
      <c r="O271" s="12">
        <f>计价规则!$B$6</f>
        <v>100</v>
      </c>
      <c r="P271" s="12">
        <f>计价规则!$B$6</f>
        <v>100</v>
      </c>
      <c r="Q271" s="12">
        <f>计价规则!$B$6</f>
        <v>100</v>
      </c>
      <c r="R271" s="12">
        <f>计价规则!$B$7</f>
        <v>400</v>
      </c>
      <c r="S271" s="8" t="s">
        <v>26</v>
      </c>
      <c r="T271" s="13">
        <v>270</v>
      </c>
    </row>
    <row r="272" ht="26" customHeight="1" spans="1:20">
      <c r="A272" s="8">
        <f t="shared" si="4"/>
        <v>271</v>
      </c>
      <c r="B272" s="8" t="s">
        <v>683</v>
      </c>
      <c r="C272" s="14" t="s">
        <v>790</v>
      </c>
      <c r="D272" s="10" t="s">
        <v>791</v>
      </c>
      <c r="E272" s="11" t="s">
        <v>283</v>
      </c>
      <c r="F272" s="11"/>
      <c r="G272" s="10" t="s">
        <v>742</v>
      </c>
      <c r="H272" s="10" t="s">
        <v>792</v>
      </c>
      <c r="I272" s="10"/>
      <c r="J272" s="10"/>
      <c r="K272" s="10"/>
      <c r="L272" s="12">
        <f>计价规则!$B$2+计价规则!$B$3*MAX(0,IF(H272="",0,LEN(H272)-LEN(SUBSTITUTE(H272,"、",""))+1)-(IF(ISNUMBER(SEARCH("WiFi通信模块",H272)),1,0)+IF(ISNUMBER(SEARCH("ESP8266 WiFi模块",H272)),1,0)+IF(ISNUMBER(SEARCH("NRF24L01无线通信模块",H272)),1,0)+IF(ISNUMBER(SEARCH("蓝牙模块",H272)),1,0)+IF(ISNUMBER(SEARCH("语音识别模块",H272)),1,0)+IF(ISNUMBER(SEARCH("语音播报模块",H272)),1,0)+IF(ISNUMBER(SEARCH("RFID模块",H272)),1,0)+IF(ISNUMBER(SEARCH("RFID读卡模块",H272)),1,0)+IF(ISNUMBER(SEARCH("GPS定位模块",H272)),1,0)+IF(ISNUMBER(SEARCH("GSM通信模块",H272)),1,0)+IF(ISNUMBER(SEARCH("摄像头模块",H272)),1,0)+IF(ISNUMBER(SEARCH("人脸识别模块",H272)),1,0)+IF(ISNUMBER(SEARCH("手势识别传感器",H272)),1,0)))</f>
        <v>105</v>
      </c>
      <c r="M272" s="12">
        <f>计价规则!$B$4+计价规则!$B$5*IF(H272="",0,LEN(H272)-LEN(SUBSTITUTE(H272,"、",""))+1)</f>
        <v>110</v>
      </c>
      <c r="N272" s="12">
        <v>200</v>
      </c>
      <c r="O272" s="12">
        <f>计价规则!$B$6</f>
        <v>100</v>
      </c>
      <c r="P272" s="12">
        <f>计价规则!$B$6</f>
        <v>100</v>
      </c>
      <c r="Q272" s="12">
        <f>计价规则!$B$6</f>
        <v>100</v>
      </c>
      <c r="R272" s="12">
        <f>计价规则!$B$7</f>
        <v>400</v>
      </c>
      <c r="S272" s="8" t="s">
        <v>26</v>
      </c>
      <c r="T272" s="13">
        <v>271</v>
      </c>
    </row>
    <row r="273" ht="26" customHeight="1" spans="1:20">
      <c r="A273" s="8">
        <f t="shared" si="4"/>
        <v>272</v>
      </c>
      <c r="B273" s="8" t="s">
        <v>683</v>
      </c>
      <c r="C273" s="14" t="s">
        <v>793</v>
      </c>
      <c r="D273" s="10" t="s">
        <v>794</v>
      </c>
      <c r="E273" s="11" t="s">
        <v>283</v>
      </c>
      <c r="F273" s="11"/>
      <c r="G273" s="10" t="s">
        <v>795</v>
      </c>
      <c r="H273" s="10" t="s">
        <v>796</v>
      </c>
      <c r="I273" s="10"/>
      <c r="J273" s="10"/>
      <c r="K273" s="10"/>
      <c r="L273" s="12">
        <f>计价规则!$B$2+计价规则!$B$3*MAX(0,IF(H273="",0,LEN(H273)-LEN(SUBSTITUTE(H273,"、",""))+1)-(IF(ISNUMBER(SEARCH("WiFi通信模块",H273)),1,0)+IF(ISNUMBER(SEARCH("ESP8266 WiFi模块",H273)),1,0)+IF(ISNUMBER(SEARCH("NRF24L01无线通信模块",H273)),1,0)+IF(ISNUMBER(SEARCH("蓝牙模块",H273)),1,0)+IF(ISNUMBER(SEARCH("语音识别模块",H273)),1,0)+IF(ISNUMBER(SEARCH("语音播报模块",H273)),1,0)+IF(ISNUMBER(SEARCH("RFID模块",H273)),1,0)+IF(ISNUMBER(SEARCH("RFID读卡模块",H273)),1,0)+IF(ISNUMBER(SEARCH("GPS定位模块",H273)),1,0)+IF(ISNUMBER(SEARCH("GSM通信模块",H273)),1,0)+IF(ISNUMBER(SEARCH("摄像头模块",H273)),1,0)+IF(ISNUMBER(SEARCH("人脸识别模块",H273)),1,0)+IF(ISNUMBER(SEARCH("手势识别传感器",H273)),1,0)))</f>
        <v>135</v>
      </c>
      <c r="M273" s="12">
        <f>计价规则!$B$4+计价规则!$B$5*IF(H273="",0,LEN(H273)-LEN(SUBSTITUTE(H273,"、",""))+1)</f>
        <v>150</v>
      </c>
      <c r="N273" s="12">
        <v>200</v>
      </c>
      <c r="O273" s="12">
        <f>计价规则!$B$6</f>
        <v>100</v>
      </c>
      <c r="P273" s="12">
        <f>计价规则!$B$6</f>
        <v>100</v>
      </c>
      <c r="Q273" s="12">
        <f>计价规则!$B$6</f>
        <v>100</v>
      </c>
      <c r="R273" s="12">
        <f>计价规则!$B$7</f>
        <v>400</v>
      </c>
      <c r="S273" s="8" t="s">
        <v>26</v>
      </c>
      <c r="T273" s="13">
        <v>272</v>
      </c>
    </row>
    <row r="274" ht="26" customHeight="1" spans="1:20">
      <c r="A274" s="8">
        <f t="shared" si="4"/>
        <v>273</v>
      </c>
      <c r="B274" s="8" t="s">
        <v>683</v>
      </c>
      <c r="C274" s="14" t="s">
        <v>797</v>
      </c>
      <c r="D274" s="10" t="s">
        <v>798</v>
      </c>
      <c r="E274" s="11" t="s">
        <v>283</v>
      </c>
      <c r="F274" s="11"/>
      <c r="G274" s="10" t="s">
        <v>795</v>
      </c>
      <c r="H274" s="10" t="s">
        <v>799</v>
      </c>
      <c r="I274" s="10"/>
      <c r="J274" s="10"/>
      <c r="K274" s="10"/>
      <c r="L274" s="12">
        <f>计价规则!$B$2+计价规则!$B$3*MAX(0,IF(H274="",0,LEN(H274)-LEN(SUBSTITUTE(H274,"、",""))+1)-(IF(ISNUMBER(SEARCH("WiFi通信模块",H274)),1,0)+IF(ISNUMBER(SEARCH("ESP8266 WiFi模块",H274)),1,0)+IF(ISNUMBER(SEARCH("NRF24L01无线通信模块",H274)),1,0)+IF(ISNUMBER(SEARCH("蓝牙模块",H274)),1,0)+IF(ISNUMBER(SEARCH("语音识别模块",H274)),1,0)+IF(ISNUMBER(SEARCH("语音播报模块",H274)),1,0)+IF(ISNUMBER(SEARCH("RFID模块",H274)),1,0)+IF(ISNUMBER(SEARCH("RFID读卡模块",H274)),1,0)+IF(ISNUMBER(SEARCH("GPS定位模块",H274)),1,0)+IF(ISNUMBER(SEARCH("GSM通信模块",H274)),1,0)+IF(ISNUMBER(SEARCH("摄像头模块",H274)),1,0)+IF(ISNUMBER(SEARCH("人脸识别模块",H274)),1,0)+IF(ISNUMBER(SEARCH("手势识别传感器",H274)),1,0)))</f>
        <v>105</v>
      </c>
      <c r="M274" s="12">
        <f>计价规则!$B$4+计价规则!$B$5*IF(H274="",0,LEN(H274)-LEN(SUBSTITUTE(H274,"、",""))+1)</f>
        <v>110</v>
      </c>
      <c r="N274" s="12">
        <v>200</v>
      </c>
      <c r="O274" s="12">
        <f>计价规则!$B$6</f>
        <v>100</v>
      </c>
      <c r="P274" s="12">
        <f>计价规则!$B$6</f>
        <v>100</v>
      </c>
      <c r="Q274" s="12">
        <f>计价规则!$B$6</f>
        <v>100</v>
      </c>
      <c r="R274" s="12">
        <f>计价规则!$B$7</f>
        <v>400</v>
      </c>
      <c r="S274" s="8" t="s">
        <v>26</v>
      </c>
      <c r="T274" s="13">
        <v>273</v>
      </c>
    </row>
    <row r="275" ht="26" customHeight="1" spans="1:20">
      <c r="A275" s="8">
        <f t="shared" si="4"/>
        <v>274</v>
      </c>
      <c r="B275" s="8" t="s">
        <v>683</v>
      </c>
      <c r="C275" s="14" t="s">
        <v>800</v>
      </c>
      <c r="D275" s="10" t="s">
        <v>801</v>
      </c>
      <c r="E275" s="11" t="s">
        <v>283</v>
      </c>
      <c r="F275" s="11"/>
      <c r="G275" s="10" t="s">
        <v>54</v>
      </c>
      <c r="H275" s="10" t="s">
        <v>802</v>
      </c>
      <c r="I275" s="10"/>
      <c r="J275" s="10"/>
      <c r="K275" s="10"/>
      <c r="L275" s="12">
        <f>计价规则!$B$2+计价规则!$B$3*MAX(0,IF(H275="",0,LEN(H275)-LEN(SUBSTITUTE(H275,"、",""))+1)-(IF(ISNUMBER(SEARCH("WiFi通信模块",H275)),1,0)+IF(ISNUMBER(SEARCH("ESP8266 WiFi模块",H275)),1,0)+IF(ISNUMBER(SEARCH("NRF24L01无线通信模块",H275)),1,0)+IF(ISNUMBER(SEARCH("蓝牙模块",H275)),1,0)+IF(ISNUMBER(SEARCH("语音识别模块",H275)),1,0)+IF(ISNUMBER(SEARCH("语音播报模块",H275)),1,0)+IF(ISNUMBER(SEARCH("RFID模块",H275)),1,0)+IF(ISNUMBER(SEARCH("RFID读卡模块",H275)),1,0)+IF(ISNUMBER(SEARCH("GPS定位模块",H275)),1,0)+IF(ISNUMBER(SEARCH("GSM通信模块",H275)),1,0)+IF(ISNUMBER(SEARCH("摄像头模块",H275)),1,0)+IF(ISNUMBER(SEARCH("人脸识别模块",H275)),1,0)+IF(ISNUMBER(SEARCH("手势识别传感器",H275)),1,0)))</f>
        <v>105</v>
      </c>
      <c r="M275" s="12">
        <f>计价规则!$B$4+计价规则!$B$5*IF(H275="",0,LEN(H275)-LEN(SUBSTITUTE(H275,"、",""))+1)</f>
        <v>110</v>
      </c>
      <c r="N275" s="12">
        <v>200</v>
      </c>
      <c r="O275" s="12">
        <f>计价规则!$B$6</f>
        <v>100</v>
      </c>
      <c r="P275" s="12">
        <f>计价规则!$B$6</f>
        <v>100</v>
      </c>
      <c r="Q275" s="12">
        <f>计价规则!$B$6</f>
        <v>100</v>
      </c>
      <c r="R275" s="12">
        <f>计价规则!$B$7</f>
        <v>400</v>
      </c>
      <c r="S275" s="8" t="s">
        <v>26</v>
      </c>
      <c r="T275" s="13">
        <v>274</v>
      </c>
    </row>
    <row r="276" ht="26" customHeight="1" spans="1:20">
      <c r="A276" s="8">
        <f t="shared" si="4"/>
        <v>275</v>
      </c>
      <c r="B276" s="8" t="s">
        <v>683</v>
      </c>
      <c r="C276" s="14" t="s">
        <v>803</v>
      </c>
      <c r="D276" s="10" t="s">
        <v>804</v>
      </c>
      <c r="E276" s="11" t="s">
        <v>283</v>
      </c>
      <c r="F276" s="11"/>
      <c r="G276" s="10" t="s">
        <v>24</v>
      </c>
      <c r="H276" s="10" t="s">
        <v>436</v>
      </c>
      <c r="I276" s="10"/>
      <c r="J276" s="10"/>
      <c r="K276" s="10"/>
      <c r="L276" s="12">
        <f>计价规则!$B$2+计价规则!$B$3*MAX(0,IF(H276="",0,LEN(H276)-LEN(SUBSTITUTE(H276,"、",""))+1)-(IF(ISNUMBER(SEARCH("WiFi通信模块",H276)),1,0)+IF(ISNUMBER(SEARCH("ESP8266 WiFi模块",H276)),1,0)+IF(ISNUMBER(SEARCH("NRF24L01无线通信模块",H276)),1,0)+IF(ISNUMBER(SEARCH("蓝牙模块",H276)),1,0)+IF(ISNUMBER(SEARCH("语音识别模块",H276)),1,0)+IF(ISNUMBER(SEARCH("语音播报模块",H276)),1,0)+IF(ISNUMBER(SEARCH("RFID模块",H276)),1,0)+IF(ISNUMBER(SEARCH("RFID读卡模块",H276)),1,0)+IF(ISNUMBER(SEARCH("GPS定位模块",H276)),1,0)+IF(ISNUMBER(SEARCH("GSM通信模块",H276)),1,0)+IF(ISNUMBER(SEARCH("摄像头模块",H276)),1,0)+IF(ISNUMBER(SEARCH("人脸识别模块",H276)),1,0)+IF(ISNUMBER(SEARCH("手势识别传感器",H276)),1,0)))</f>
        <v>105</v>
      </c>
      <c r="M276" s="12">
        <f>计价规则!$B$4+计价规则!$B$5*IF(H276="",0,LEN(H276)-LEN(SUBSTITUTE(H276,"、",""))+1)</f>
        <v>110</v>
      </c>
      <c r="N276" s="12">
        <v>200</v>
      </c>
      <c r="O276" s="12">
        <f>计价规则!$B$6</f>
        <v>100</v>
      </c>
      <c r="P276" s="12">
        <f>计价规则!$B$6</f>
        <v>100</v>
      </c>
      <c r="Q276" s="12">
        <f>计价规则!$B$6</f>
        <v>100</v>
      </c>
      <c r="R276" s="12">
        <f>计价规则!$B$7</f>
        <v>400</v>
      </c>
      <c r="S276" s="8" t="s">
        <v>26</v>
      </c>
      <c r="T276" s="13">
        <v>275</v>
      </c>
    </row>
    <row r="277" ht="26" customHeight="1" spans="1:20">
      <c r="A277" s="8">
        <f t="shared" si="4"/>
        <v>276</v>
      </c>
      <c r="B277" s="8" t="s">
        <v>683</v>
      </c>
      <c r="C277" s="14" t="s">
        <v>805</v>
      </c>
      <c r="D277" s="10" t="s">
        <v>806</v>
      </c>
      <c r="E277" s="11" t="s">
        <v>283</v>
      </c>
      <c r="F277" s="11"/>
      <c r="G277" s="10" t="s">
        <v>81</v>
      </c>
      <c r="H277" s="10" t="s">
        <v>82</v>
      </c>
      <c r="I277" s="10"/>
      <c r="J277" s="10"/>
      <c r="K277" s="10"/>
      <c r="L277" s="12">
        <f>计价规则!$B$2+计价规则!$B$3*MAX(0,IF(H277="",0,LEN(H277)-LEN(SUBSTITUTE(H277,"、",""))+1)-(IF(ISNUMBER(SEARCH("WiFi通信模块",H277)),1,0)+IF(ISNUMBER(SEARCH("ESP8266 WiFi模块",H277)),1,0)+IF(ISNUMBER(SEARCH("NRF24L01无线通信模块",H277)),1,0)+IF(ISNUMBER(SEARCH("蓝牙模块",H277)),1,0)+IF(ISNUMBER(SEARCH("语音识别模块",H277)),1,0)+IF(ISNUMBER(SEARCH("语音播报模块",H277)),1,0)+IF(ISNUMBER(SEARCH("RFID模块",H277)),1,0)+IF(ISNUMBER(SEARCH("RFID读卡模块",H277)),1,0)+IF(ISNUMBER(SEARCH("GPS定位模块",H277)),1,0)+IF(ISNUMBER(SEARCH("GSM通信模块",H277)),1,0)+IF(ISNUMBER(SEARCH("摄像头模块",H277)),1,0)+IF(ISNUMBER(SEARCH("人脸识别模块",H277)),1,0)+IF(ISNUMBER(SEARCH("手势识别传感器",H277)),1,0)))</f>
        <v>90</v>
      </c>
      <c r="M277" s="12">
        <f>计价规则!$B$4+计价规则!$B$5*IF(H277="",0,LEN(H277)-LEN(SUBSTITUTE(H277,"、",""))+1)</f>
        <v>90</v>
      </c>
      <c r="N277" s="12">
        <v>200</v>
      </c>
      <c r="O277" s="12">
        <f>计价规则!$B$6</f>
        <v>100</v>
      </c>
      <c r="P277" s="12">
        <f>计价规则!$B$6</f>
        <v>100</v>
      </c>
      <c r="Q277" s="12">
        <f>计价规则!$B$6</f>
        <v>100</v>
      </c>
      <c r="R277" s="12">
        <f>计价规则!$B$7</f>
        <v>400</v>
      </c>
      <c r="S277" s="8" t="s">
        <v>26</v>
      </c>
      <c r="T277" s="13">
        <v>276</v>
      </c>
    </row>
    <row r="278" ht="26" customHeight="1" spans="1:20">
      <c r="A278" s="8">
        <f t="shared" si="4"/>
        <v>277</v>
      </c>
      <c r="B278" s="8" t="s">
        <v>683</v>
      </c>
      <c r="C278" s="14" t="s">
        <v>807</v>
      </c>
      <c r="D278" s="10" t="s">
        <v>808</v>
      </c>
      <c r="E278" s="11" t="s">
        <v>283</v>
      </c>
      <c r="F278" s="11"/>
      <c r="G278" s="10" t="s">
        <v>24</v>
      </c>
      <c r="H278" s="10" t="s">
        <v>44</v>
      </c>
      <c r="I278" s="10"/>
      <c r="J278" s="10"/>
      <c r="K278" s="10"/>
      <c r="L278" s="12">
        <f>计价规则!$B$2+计价规则!$B$3*MAX(0,IF(H278="",0,LEN(H278)-LEN(SUBSTITUTE(H278,"、",""))+1)-(IF(ISNUMBER(SEARCH("WiFi通信模块",H278)),1,0)+IF(ISNUMBER(SEARCH("ESP8266 WiFi模块",H278)),1,0)+IF(ISNUMBER(SEARCH("NRF24L01无线通信模块",H278)),1,0)+IF(ISNUMBER(SEARCH("蓝牙模块",H278)),1,0)+IF(ISNUMBER(SEARCH("语音识别模块",H278)),1,0)+IF(ISNUMBER(SEARCH("语音播报模块",H278)),1,0)+IF(ISNUMBER(SEARCH("RFID模块",H278)),1,0)+IF(ISNUMBER(SEARCH("RFID读卡模块",H278)),1,0)+IF(ISNUMBER(SEARCH("GPS定位模块",H278)),1,0)+IF(ISNUMBER(SEARCH("GSM通信模块",H278)),1,0)+IF(ISNUMBER(SEARCH("摄像头模块",H278)),1,0)+IF(ISNUMBER(SEARCH("人脸识别模块",H278)),1,0)+IF(ISNUMBER(SEARCH("手势识别传感器",H278)),1,0)))</f>
        <v>90</v>
      </c>
      <c r="M278" s="12">
        <f>计价规则!$B$4+计价规则!$B$5*IF(H278="",0,LEN(H278)-LEN(SUBSTITUTE(H278,"、",""))+1)</f>
        <v>90</v>
      </c>
      <c r="N278" s="12">
        <v>200</v>
      </c>
      <c r="O278" s="12">
        <f>计价规则!$B$6</f>
        <v>100</v>
      </c>
      <c r="P278" s="12">
        <f>计价规则!$B$6</f>
        <v>100</v>
      </c>
      <c r="Q278" s="12">
        <f>计价规则!$B$6</f>
        <v>100</v>
      </c>
      <c r="R278" s="12">
        <f>计价规则!$B$7</f>
        <v>400</v>
      </c>
      <c r="S278" s="8" t="s">
        <v>26</v>
      </c>
      <c r="T278" s="13">
        <v>277</v>
      </c>
    </row>
    <row r="279" ht="26" customHeight="1" spans="1:20">
      <c r="A279" s="8">
        <f t="shared" si="4"/>
        <v>278</v>
      </c>
      <c r="B279" s="8" t="s">
        <v>683</v>
      </c>
      <c r="C279" s="14" t="s">
        <v>809</v>
      </c>
      <c r="D279" s="10" t="s">
        <v>810</v>
      </c>
      <c r="E279" s="11" t="s">
        <v>283</v>
      </c>
      <c r="F279" s="11"/>
      <c r="G279" s="10" t="s">
        <v>54</v>
      </c>
      <c r="H279" s="10" t="s">
        <v>66</v>
      </c>
      <c r="I279" s="10"/>
      <c r="J279" s="10"/>
      <c r="K279" s="10"/>
      <c r="L279" s="12">
        <f>计价规则!$B$2+计价规则!$B$3*MAX(0,IF(H279="",0,LEN(H279)-LEN(SUBSTITUTE(H279,"、",""))+1)-(IF(ISNUMBER(SEARCH("WiFi通信模块",H279)),1,0)+IF(ISNUMBER(SEARCH("ESP8266 WiFi模块",H279)),1,0)+IF(ISNUMBER(SEARCH("NRF24L01无线通信模块",H279)),1,0)+IF(ISNUMBER(SEARCH("蓝牙模块",H279)),1,0)+IF(ISNUMBER(SEARCH("语音识别模块",H279)),1,0)+IF(ISNUMBER(SEARCH("语音播报模块",H279)),1,0)+IF(ISNUMBER(SEARCH("RFID模块",H279)),1,0)+IF(ISNUMBER(SEARCH("RFID读卡模块",H279)),1,0)+IF(ISNUMBER(SEARCH("GPS定位模块",H279)),1,0)+IF(ISNUMBER(SEARCH("GSM通信模块",H279)),1,0)+IF(ISNUMBER(SEARCH("摄像头模块",H279)),1,0)+IF(ISNUMBER(SEARCH("人脸识别模块",H279)),1,0)+IF(ISNUMBER(SEARCH("手势识别传感器",H279)),1,0)))</f>
        <v>90</v>
      </c>
      <c r="M279" s="12">
        <f>计价规则!$B$4+计价规则!$B$5*IF(H279="",0,LEN(H279)-LEN(SUBSTITUTE(H279,"、",""))+1)</f>
        <v>90</v>
      </c>
      <c r="N279" s="12">
        <v>200</v>
      </c>
      <c r="O279" s="12">
        <f>计价规则!$B$6</f>
        <v>100</v>
      </c>
      <c r="P279" s="12">
        <f>计价规则!$B$6</f>
        <v>100</v>
      </c>
      <c r="Q279" s="12">
        <f>计价规则!$B$6</f>
        <v>100</v>
      </c>
      <c r="R279" s="12">
        <f>计价规则!$B$7</f>
        <v>400</v>
      </c>
      <c r="S279" s="8" t="s">
        <v>26</v>
      </c>
      <c r="T279" s="13">
        <v>278</v>
      </c>
    </row>
    <row r="280" ht="26" customHeight="1" spans="1:20">
      <c r="A280" s="8">
        <f t="shared" si="4"/>
        <v>279</v>
      </c>
      <c r="B280" s="8" t="s">
        <v>683</v>
      </c>
      <c r="C280" s="14" t="s">
        <v>811</v>
      </c>
      <c r="D280" s="10" t="s">
        <v>812</v>
      </c>
      <c r="E280" s="11" t="s">
        <v>283</v>
      </c>
      <c r="F280" s="11"/>
      <c r="G280" s="10" t="s">
        <v>24</v>
      </c>
      <c r="H280" s="10" t="s">
        <v>51</v>
      </c>
      <c r="I280" s="10"/>
      <c r="J280" s="10"/>
      <c r="K280" s="10"/>
      <c r="L280" s="12">
        <f>计价规则!$B$2+计价规则!$B$3*MAX(0,IF(H280="",0,LEN(H280)-LEN(SUBSTITUTE(H280,"、",""))+1)-(IF(ISNUMBER(SEARCH("WiFi通信模块",H280)),1,0)+IF(ISNUMBER(SEARCH("ESP8266 WiFi模块",H280)),1,0)+IF(ISNUMBER(SEARCH("NRF24L01无线通信模块",H280)),1,0)+IF(ISNUMBER(SEARCH("蓝牙模块",H280)),1,0)+IF(ISNUMBER(SEARCH("语音识别模块",H280)),1,0)+IF(ISNUMBER(SEARCH("语音播报模块",H280)),1,0)+IF(ISNUMBER(SEARCH("RFID模块",H280)),1,0)+IF(ISNUMBER(SEARCH("RFID读卡模块",H280)),1,0)+IF(ISNUMBER(SEARCH("GPS定位模块",H280)),1,0)+IF(ISNUMBER(SEARCH("GSM通信模块",H280)),1,0)+IF(ISNUMBER(SEARCH("摄像头模块",H280)),1,0)+IF(ISNUMBER(SEARCH("人脸识别模块",H280)),1,0)+IF(ISNUMBER(SEARCH("手势识别传感器",H280)),1,0)))</f>
        <v>75</v>
      </c>
      <c r="M280" s="12">
        <f>计价规则!$B$4+计价规则!$B$5*IF(H280="",0,LEN(H280)-LEN(SUBSTITUTE(H280,"、",""))+1)</f>
        <v>70</v>
      </c>
      <c r="N280" s="12">
        <v>200</v>
      </c>
      <c r="O280" s="12">
        <f>计价规则!$B$6</f>
        <v>100</v>
      </c>
      <c r="P280" s="12">
        <f>计价规则!$B$6</f>
        <v>100</v>
      </c>
      <c r="Q280" s="12">
        <f>计价规则!$B$6</f>
        <v>100</v>
      </c>
      <c r="R280" s="12">
        <f>计价规则!$B$7</f>
        <v>400</v>
      </c>
      <c r="S280" s="8" t="s">
        <v>26</v>
      </c>
      <c r="T280" s="13">
        <v>279</v>
      </c>
    </row>
    <row r="281" ht="26" customHeight="1" spans="1:20">
      <c r="A281" s="8">
        <f t="shared" si="4"/>
        <v>280</v>
      </c>
      <c r="B281" s="8" t="s">
        <v>683</v>
      </c>
      <c r="C281" s="14" t="s">
        <v>813</v>
      </c>
      <c r="D281" s="10" t="s">
        <v>814</v>
      </c>
      <c r="E281" s="11" t="s">
        <v>283</v>
      </c>
      <c r="F281" s="11"/>
      <c r="G281" s="10" t="s">
        <v>54</v>
      </c>
      <c r="H281" s="10" t="s">
        <v>198</v>
      </c>
      <c r="I281" s="10"/>
      <c r="J281" s="10"/>
      <c r="K281" s="10"/>
      <c r="L281" s="12">
        <f>计价规则!$B$2+计价规则!$B$3*MAX(0,IF(H281="",0,LEN(H281)-LEN(SUBSTITUTE(H281,"、",""))+1)-(IF(ISNUMBER(SEARCH("WiFi通信模块",H281)),1,0)+IF(ISNUMBER(SEARCH("ESP8266 WiFi模块",H281)),1,0)+IF(ISNUMBER(SEARCH("NRF24L01无线通信模块",H281)),1,0)+IF(ISNUMBER(SEARCH("蓝牙模块",H281)),1,0)+IF(ISNUMBER(SEARCH("语音识别模块",H281)),1,0)+IF(ISNUMBER(SEARCH("语音播报模块",H281)),1,0)+IF(ISNUMBER(SEARCH("RFID模块",H281)),1,0)+IF(ISNUMBER(SEARCH("RFID读卡模块",H281)),1,0)+IF(ISNUMBER(SEARCH("GPS定位模块",H281)),1,0)+IF(ISNUMBER(SEARCH("GSM通信模块",H281)),1,0)+IF(ISNUMBER(SEARCH("摄像头模块",H281)),1,0)+IF(ISNUMBER(SEARCH("人脸识别模块",H281)),1,0)+IF(ISNUMBER(SEARCH("手势识别传感器",H281)),1,0)))</f>
        <v>90</v>
      </c>
      <c r="M281" s="12">
        <f>计价规则!$B$4+计价规则!$B$5*IF(H281="",0,LEN(H281)-LEN(SUBSTITUTE(H281,"、",""))+1)</f>
        <v>90</v>
      </c>
      <c r="N281" s="12">
        <v>200</v>
      </c>
      <c r="O281" s="12">
        <f>计价规则!$B$6</f>
        <v>100</v>
      </c>
      <c r="P281" s="12">
        <f>计价规则!$B$6</f>
        <v>100</v>
      </c>
      <c r="Q281" s="12">
        <f>计价规则!$B$6</f>
        <v>100</v>
      </c>
      <c r="R281" s="12">
        <f>计价规则!$B$7</f>
        <v>400</v>
      </c>
      <c r="S281" s="8" t="s">
        <v>26</v>
      </c>
      <c r="T281" s="13">
        <v>280</v>
      </c>
    </row>
    <row r="282" ht="26" customHeight="1" spans="1:20">
      <c r="A282" s="8">
        <f t="shared" si="4"/>
        <v>281</v>
      </c>
      <c r="B282" s="8" t="s">
        <v>683</v>
      </c>
      <c r="C282" s="14" t="s">
        <v>815</v>
      </c>
      <c r="D282" s="10" t="s">
        <v>816</v>
      </c>
      <c r="E282" s="11" t="s">
        <v>283</v>
      </c>
      <c r="F282" s="11"/>
      <c r="G282" s="10" t="s">
        <v>54</v>
      </c>
      <c r="H282" s="10" t="s">
        <v>198</v>
      </c>
      <c r="I282" s="10"/>
      <c r="J282" s="10"/>
      <c r="K282" s="10"/>
      <c r="L282" s="12">
        <f>计价规则!$B$2+计价规则!$B$3*MAX(0,IF(H282="",0,LEN(H282)-LEN(SUBSTITUTE(H282,"、",""))+1)-(IF(ISNUMBER(SEARCH("WiFi通信模块",H282)),1,0)+IF(ISNUMBER(SEARCH("ESP8266 WiFi模块",H282)),1,0)+IF(ISNUMBER(SEARCH("NRF24L01无线通信模块",H282)),1,0)+IF(ISNUMBER(SEARCH("蓝牙模块",H282)),1,0)+IF(ISNUMBER(SEARCH("语音识别模块",H282)),1,0)+IF(ISNUMBER(SEARCH("语音播报模块",H282)),1,0)+IF(ISNUMBER(SEARCH("RFID模块",H282)),1,0)+IF(ISNUMBER(SEARCH("RFID读卡模块",H282)),1,0)+IF(ISNUMBER(SEARCH("GPS定位模块",H282)),1,0)+IF(ISNUMBER(SEARCH("GSM通信模块",H282)),1,0)+IF(ISNUMBER(SEARCH("摄像头模块",H282)),1,0)+IF(ISNUMBER(SEARCH("人脸识别模块",H282)),1,0)+IF(ISNUMBER(SEARCH("手势识别传感器",H282)),1,0)))</f>
        <v>90</v>
      </c>
      <c r="M282" s="12">
        <f>计价规则!$B$4+计价规则!$B$5*IF(H282="",0,LEN(H282)-LEN(SUBSTITUTE(H282,"、",""))+1)</f>
        <v>90</v>
      </c>
      <c r="N282" s="12">
        <v>200</v>
      </c>
      <c r="O282" s="12">
        <f>计价规则!$B$6</f>
        <v>100</v>
      </c>
      <c r="P282" s="12">
        <f>计价规则!$B$6</f>
        <v>100</v>
      </c>
      <c r="Q282" s="12">
        <f>计价规则!$B$6</f>
        <v>100</v>
      </c>
      <c r="R282" s="12">
        <f>计价规则!$B$7</f>
        <v>400</v>
      </c>
      <c r="S282" s="8" t="s">
        <v>26</v>
      </c>
      <c r="T282" s="13">
        <v>281</v>
      </c>
    </row>
    <row r="283" ht="26" customHeight="1" spans="1:20">
      <c r="A283" s="8">
        <f t="shared" si="4"/>
        <v>282</v>
      </c>
      <c r="B283" s="8" t="s">
        <v>683</v>
      </c>
      <c r="C283" s="14" t="s">
        <v>817</v>
      </c>
      <c r="D283" s="10" t="s">
        <v>818</v>
      </c>
      <c r="E283" s="11" t="s">
        <v>283</v>
      </c>
      <c r="F283" s="11"/>
      <c r="G283" s="10" t="s">
        <v>24</v>
      </c>
      <c r="H283" s="10" t="s">
        <v>198</v>
      </c>
      <c r="I283" s="10"/>
      <c r="J283" s="10"/>
      <c r="K283" s="10"/>
      <c r="L283" s="12">
        <f>计价规则!$B$2+计价规则!$B$3*MAX(0,IF(H283="",0,LEN(H283)-LEN(SUBSTITUTE(H283,"、",""))+1)-(IF(ISNUMBER(SEARCH("WiFi通信模块",H283)),1,0)+IF(ISNUMBER(SEARCH("ESP8266 WiFi模块",H283)),1,0)+IF(ISNUMBER(SEARCH("NRF24L01无线通信模块",H283)),1,0)+IF(ISNUMBER(SEARCH("蓝牙模块",H283)),1,0)+IF(ISNUMBER(SEARCH("语音识别模块",H283)),1,0)+IF(ISNUMBER(SEARCH("语音播报模块",H283)),1,0)+IF(ISNUMBER(SEARCH("RFID模块",H283)),1,0)+IF(ISNUMBER(SEARCH("RFID读卡模块",H283)),1,0)+IF(ISNUMBER(SEARCH("GPS定位模块",H283)),1,0)+IF(ISNUMBER(SEARCH("GSM通信模块",H283)),1,0)+IF(ISNUMBER(SEARCH("摄像头模块",H283)),1,0)+IF(ISNUMBER(SEARCH("人脸识别模块",H283)),1,0)+IF(ISNUMBER(SEARCH("手势识别传感器",H283)),1,0)))</f>
        <v>90</v>
      </c>
      <c r="M283" s="12">
        <f>计价规则!$B$4+计价规则!$B$5*IF(H283="",0,LEN(H283)-LEN(SUBSTITUTE(H283,"、",""))+1)</f>
        <v>90</v>
      </c>
      <c r="N283" s="12">
        <v>200</v>
      </c>
      <c r="O283" s="12">
        <f>计价规则!$B$6</f>
        <v>100</v>
      </c>
      <c r="P283" s="12">
        <f>计价规则!$B$6</f>
        <v>100</v>
      </c>
      <c r="Q283" s="12">
        <f>计价规则!$B$6</f>
        <v>100</v>
      </c>
      <c r="R283" s="12">
        <f>计价规则!$B$7</f>
        <v>400</v>
      </c>
      <c r="S283" s="8" t="s">
        <v>26</v>
      </c>
      <c r="T283" s="13">
        <v>282</v>
      </c>
    </row>
    <row r="284" ht="26" customHeight="1" spans="1:20">
      <c r="A284" s="8">
        <f t="shared" si="4"/>
        <v>283</v>
      </c>
      <c r="B284" s="8" t="s">
        <v>683</v>
      </c>
      <c r="C284" s="14" t="s">
        <v>819</v>
      </c>
      <c r="D284" s="10" t="s">
        <v>820</v>
      </c>
      <c r="E284" s="11" t="s">
        <v>283</v>
      </c>
      <c r="F284" s="11"/>
      <c r="G284" s="10" t="s">
        <v>24</v>
      </c>
      <c r="H284" s="10" t="s">
        <v>510</v>
      </c>
      <c r="I284" s="10"/>
      <c r="J284" s="10"/>
      <c r="K284" s="10"/>
      <c r="L284" s="12">
        <f>计价规则!$B$2+计价规则!$B$3*MAX(0,IF(H284="",0,LEN(H284)-LEN(SUBSTITUTE(H284,"、",""))+1)-(IF(ISNUMBER(SEARCH("WiFi通信模块",H284)),1,0)+IF(ISNUMBER(SEARCH("ESP8266 WiFi模块",H284)),1,0)+IF(ISNUMBER(SEARCH("NRF24L01无线通信模块",H284)),1,0)+IF(ISNUMBER(SEARCH("蓝牙模块",H284)),1,0)+IF(ISNUMBER(SEARCH("语音识别模块",H284)),1,0)+IF(ISNUMBER(SEARCH("语音播报模块",H284)),1,0)+IF(ISNUMBER(SEARCH("RFID模块",H284)),1,0)+IF(ISNUMBER(SEARCH("RFID读卡模块",H284)),1,0)+IF(ISNUMBER(SEARCH("GPS定位模块",H284)),1,0)+IF(ISNUMBER(SEARCH("GSM通信模块",H284)),1,0)+IF(ISNUMBER(SEARCH("摄像头模块",H284)),1,0)+IF(ISNUMBER(SEARCH("人脸识别模块",H284)),1,0)+IF(ISNUMBER(SEARCH("手势识别传感器",H284)),1,0)))</f>
        <v>90</v>
      </c>
      <c r="M284" s="12">
        <f>计价规则!$B$4+计价规则!$B$5*IF(H284="",0,LEN(H284)-LEN(SUBSTITUTE(H284,"、",""))+1)</f>
        <v>90</v>
      </c>
      <c r="N284" s="12">
        <v>200</v>
      </c>
      <c r="O284" s="12">
        <f>计价规则!$B$6</f>
        <v>100</v>
      </c>
      <c r="P284" s="12">
        <f>计价规则!$B$6</f>
        <v>100</v>
      </c>
      <c r="Q284" s="12">
        <f>计价规则!$B$6</f>
        <v>100</v>
      </c>
      <c r="R284" s="12">
        <f>计价规则!$B$7</f>
        <v>400</v>
      </c>
      <c r="S284" s="8" t="s">
        <v>26</v>
      </c>
      <c r="T284" s="13">
        <v>283</v>
      </c>
    </row>
    <row r="285" ht="26" customHeight="1" spans="1:20">
      <c r="A285" s="8">
        <f t="shared" si="4"/>
        <v>284</v>
      </c>
      <c r="B285" s="8" t="s">
        <v>683</v>
      </c>
      <c r="C285" s="14" t="s">
        <v>821</v>
      </c>
      <c r="D285" s="10" t="s">
        <v>822</v>
      </c>
      <c r="E285" s="11" t="s">
        <v>283</v>
      </c>
      <c r="F285" s="11"/>
      <c r="G285" s="10" t="s">
        <v>73</v>
      </c>
      <c r="H285" s="10" t="s">
        <v>320</v>
      </c>
      <c r="I285" s="10"/>
      <c r="J285" s="10"/>
      <c r="K285" s="10"/>
      <c r="L285" s="12">
        <f>计价规则!$B$2+计价规则!$B$3*MAX(0,IF(H285="",0,LEN(H285)-LEN(SUBSTITUTE(H285,"、",""))+1)-(IF(ISNUMBER(SEARCH("WiFi通信模块",H285)),1,0)+IF(ISNUMBER(SEARCH("ESP8266 WiFi模块",H285)),1,0)+IF(ISNUMBER(SEARCH("NRF24L01无线通信模块",H285)),1,0)+IF(ISNUMBER(SEARCH("蓝牙模块",H285)),1,0)+IF(ISNUMBER(SEARCH("语音识别模块",H285)),1,0)+IF(ISNUMBER(SEARCH("语音播报模块",H285)),1,0)+IF(ISNUMBER(SEARCH("RFID模块",H285)),1,0)+IF(ISNUMBER(SEARCH("RFID读卡模块",H285)),1,0)+IF(ISNUMBER(SEARCH("GPS定位模块",H285)),1,0)+IF(ISNUMBER(SEARCH("GSM通信模块",H285)),1,0)+IF(ISNUMBER(SEARCH("摄像头模块",H285)),1,0)+IF(ISNUMBER(SEARCH("人脸识别模块",H285)),1,0)+IF(ISNUMBER(SEARCH("手势识别传感器",H285)),1,0)))</f>
        <v>90</v>
      </c>
      <c r="M285" s="12">
        <f>计价规则!$B$4+计价规则!$B$5*IF(H285="",0,LEN(H285)-LEN(SUBSTITUTE(H285,"、",""))+1)</f>
        <v>90</v>
      </c>
      <c r="N285" s="12">
        <v>200</v>
      </c>
      <c r="O285" s="12">
        <f>计价规则!$B$6</f>
        <v>100</v>
      </c>
      <c r="P285" s="12">
        <f>计价规则!$B$6</f>
        <v>100</v>
      </c>
      <c r="Q285" s="12">
        <f>计价规则!$B$6</f>
        <v>100</v>
      </c>
      <c r="R285" s="12">
        <f>计价规则!$B$7</f>
        <v>400</v>
      </c>
      <c r="S285" s="8" t="s">
        <v>26</v>
      </c>
      <c r="T285" s="13">
        <v>284</v>
      </c>
    </row>
    <row r="286" ht="26" customHeight="1" spans="1:20">
      <c r="A286" s="8">
        <f t="shared" si="4"/>
        <v>285</v>
      </c>
      <c r="B286" s="8" t="s">
        <v>683</v>
      </c>
      <c r="C286" s="14" t="s">
        <v>823</v>
      </c>
      <c r="D286" s="10" t="s">
        <v>824</v>
      </c>
      <c r="E286" s="11" t="s">
        <v>283</v>
      </c>
      <c r="F286" s="11"/>
      <c r="G286" s="10" t="s">
        <v>47</v>
      </c>
      <c r="H286" s="10" t="s">
        <v>825</v>
      </c>
      <c r="I286" s="10"/>
      <c r="J286" s="10"/>
      <c r="K286" s="10"/>
      <c r="L286" s="12">
        <f>计价规则!$B$2+计价规则!$B$3*MAX(0,IF(H286="",0,LEN(H286)-LEN(SUBSTITUTE(H286,"、",""))+1)-(IF(ISNUMBER(SEARCH("WiFi通信模块",H286)),1,0)+IF(ISNUMBER(SEARCH("ESP8266 WiFi模块",H286)),1,0)+IF(ISNUMBER(SEARCH("NRF24L01无线通信模块",H286)),1,0)+IF(ISNUMBER(SEARCH("蓝牙模块",H286)),1,0)+IF(ISNUMBER(SEARCH("语音识别模块",H286)),1,0)+IF(ISNUMBER(SEARCH("语音播报模块",H286)),1,0)+IF(ISNUMBER(SEARCH("RFID模块",H286)),1,0)+IF(ISNUMBER(SEARCH("RFID读卡模块",H286)),1,0)+IF(ISNUMBER(SEARCH("GPS定位模块",H286)),1,0)+IF(ISNUMBER(SEARCH("GSM通信模块",H286)),1,0)+IF(ISNUMBER(SEARCH("摄像头模块",H286)),1,0)+IF(ISNUMBER(SEARCH("人脸识别模块",H286)),1,0)+IF(ISNUMBER(SEARCH("手势识别传感器",H286)),1,0)))</f>
        <v>120</v>
      </c>
      <c r="M286" s="12">
        <f>计价规则!$B$4+计价规则!$B$5*IF(H286="",0,LEN(H286)-LEN(SUBSTITUTE(H286,"、",""))+1)</f>
        <v>130</v>
      </c>
      <c r="N286" s="12">
        <v>200</v>
      </c>
      <c r="O286" s="12">
        <f>计价规则!$B$6</f>
        <v>100</v>
      </c>
      <c r="P286" s="12">
        <f>计价规则!$B$6</f>
        <v>100</v>
      </c>
      <c r="Q286" s="12">
        <f>计价规则!$B$6</f>
        <v>100</v>
      </c>
      <c r="R286" s="12">
        <f>计价规则!$B$7</f>
        <v>400</v>
      </c>
      <c r="S286" s="8" t="s">
        <v>26</v>
      </c>
      <c r="T286" s="13">
        <v>285</v>
      </c>
    </row>
    <row r="287" ht="26" customHeight="1" spans="1:20">
      <c r="A287" s="8">
        <f t="shared" si="4"/>
        <v>286</v>
      </c>
      <c r="B287" s="8" t="s">
        <v>683</v>
      </c>
      <c r="C287" s="14" t="s">
        <v>826</v>
      </c>
      <c r="D287" s="10" t="s">
        <v>827</v>
      </c>
      <c r="E287" s="11" t="s">
        <v>283</v>
      </c>
      <c r="F287" s="11"/>
      <c r="G287" s="10" t="s">
        <v>138</v>
      </c>
      <c r="H287" s="10" t="s">
        <v>828</v>
      </c>
      <c r="I287" s="10"/>
      <c r="J287" s="10"/>
      <c r="K287" s="10"/>
      <c r="L287" s="12">
        <f>计价规则!$B$2+计价规则!$B$3*MAX(0,IF(H287="",0,LEN(H287)-LEN(SUBSTITUTE(H287,"、",""))+1)-(IF(ISNUMBER(SEARCH("WiFi通信模块",H287)),1,0)+IF(ISNUMBER(SEARCH("ESP8266 WiFi模块",H287)),1,0)+IF(ISNUMBER(SEARCH("NRF24L01无线通信模块",H287)),1,0)+IF(ISNUMBER(SEARCH("蓝牙模块",H287)),1,0)+IF(ISNUMBER(SEARCH("语音识别模块",H287)),1,0)+IF(ISNUMBER(SEARCH("语音播报模块",H287)),1,0)+IF(ISNUMBER(SEARCH("RFID模块",H287)),1,0)+IF(ISNUMBER(SEARCH("RFID读卡模块",H287)),1,0)+IF(ISNUMBER(SEARCH("GPS定位模块",H287)),1,0)+IF(ISNUMBER(SEARCH("GSM通信模块",H287)),1,0)+IF(ISNUMBER(SEARCH("摄像头模块",H287)),1,0)+IF(ISNUMBER(SEARCH("人脸识别模块",H287)),1,0)+IF(ISNUMBER(SEARCH("手势识别传感器",H287)),1,0)))</f>
        <v>120</v>
      </c>
      <c r="M287" s="12">
        <f>计价规则!$B$4+计价规则!$B$5*IF(H287="",0,LEN(H287)-LEN(SUBSTITUTE(H287,"、",""))+1)</f>
        <v>130</v>
      </c>
      <c r="N287" s="12">
        <v>200</v>
      </c>
      <c r="O287" s="12">
        <f>计价规则!$B$6</f>
        <v>100</v>
      </c>
      <c r="P287" s="12">
        <f>计价规则!$B$6</f>
        <v>100</v>
      </c>
      <c r="Q287" s="12">
        <f>计价规则!$B$6</f>
        <v>100</v>
      </c>
      <c r="R287" s="12">
        <f>计价规则!$B$7</f>
        <v>400</v>
      </c>
      <c r="S287" s="8" t="s">
        <v>26</v>
      </c>
      <c r="T287" s="13">
        <v>286</v>
      </c>
    </row>
    <row r="288" ht="26" customHeight="1" spans="1:20">
      <c r="A288" s="8">
        <f t="shared" si="4"/>
        <v>287</v>
      </c>
      <c r="B288" s="8" t="s">
        <v>683</v>
      </c>
      <c r="C288" s="14" t="s">
        <v>829</v>
      </c>
      <c r="D288" s="10" t="s">
        <v>830</v>
      </c>
      <c r="E288" s="11" t="s">
        <v>283</v>
      </c>
      <c r="F288" s="11"/>
      <c r="G288" s="10" t="s">
        <v>24</v>
      </c>
      <c r="H288" s="10" t="s">
        <v>831</v>
      </c>
      <c r="I288" s="10"/>
      <c r="J288" s="10"/>
      <c r="K288" s="10"/>
      <c r="L288" s="12">
        <f>计价规则!$B$2+计价规则!$B$3*MAX(0,IF(H288="",0,LEN(H288)-LEN(SUBSTITUTE(H288,"、",""))+1)-(IF(ISNUMBER(SEARCH("WiFi通信模块",H288)),1,0)+IF(ISNUMBER(SEARCH("ESP8266 WiFi模块",H288)),1,0)+IF(ISNUMBER(SEARCH("NRF24L01无线通信模块",H288)),1,0)+IF(ISNUMBER(SEARCH("蓝牙模块",H288)),1,0)+IF(ISNUMBER(SEARCH("语音识别模块",H288)),1,0)+IF(ISNUMBER(SEARCH("语音播报模块",H288)),1,0)+IF(ISNUMBER(SEARCH("RFID模块",H288)),1,0)+IF(ISNUMBER(SEARCH("RFID读卡模块",H288)),1,0)+IF(ISNUMBER(SEARCH("GPS定位模块",H288)),1,0)+IF(ISNUMBER(SEARCH("GSM通信模块",H288)),1,0)+IF(ISNUMBER(SEARCH("摄像头模块",H288)),1,0)+IF(ISNUMBER(SEARCH("人脸识别模块",H288)),1,0)+IF(ISNUMBER(SEARCH("手势识别传感器",H288)),1,0)))</f>
        <v>90</v>
      </c>
      <c r="M288" s="12">
        <f>计价规则!$B$4+计价规则!$B$5*IF(H288="",0,LEN(H288)-LEN(SUBSTITUTE(H288,"、",""))+1)</f>
        <v>90</v>
      </c>
      <c r="N288" s="12">
        <v>200</v>
      </c>
      <c r="O288" s="12">
        <f>计价规则!$B$6</f>
        <v>100</v>
      </c>
      <c r="P288" s="12">
        <f>计价规则!$B$6</f>
        <v>100</v>
      </c>
      <c r="Q288" s="12">
        <f>计价规则!$B$6</f>
        <v>100</v>
      </c>
      <c r="R288" s="12">
        <f>计价规则!$B$7</f>
        <v>400</v>
      </c>
      <c r="S288" s="8" t="s">
        <v>26</v>
      </c>
      <c r="T288" s="13">
        <v>287</v>
      </c>
    </row>
    <row r="289" ht="26" customHeight="1" spans="1:20">
      <c r="A289" s="8">
        <f t="shared" si="4"/>
        <v>288</v>
      </c>
      <c r="B289" s="8" t="s">
        <v>683</v>
      </c>
      <c r="C289" s="14" t="s">
        <v>832</v>
      </c>
      <c r="D289" s="10" t="s">
        <v>833</v>
      </c>
      <c r="E289" s="11" t="s">
        <v>283</v>
      </c>
      <c r="F289" s="11"/>
      <c r="G289" s="10" t="s">
        <v>54</v>
      </c>
      <c r="H289" s="10" t="s">
        <v>648</v>
      </c>
      <c r="I289" s="10"/>
      <c r="J289" s="10"/>
      <c r="K289" s="10"/>
      <c r="L289" s="12">
        <f>计价规则!$B$2+计价规则!$B$3*MAX(0,IF(H289="",0,LEN(H289)-LEN(SUBSTITUTE(H289,"、",""))+1)-(IF(ISNUMBER(SEARCH("WiFi通信模块",H289)),1,0)+IF(ISNUMBER(SEARCH("ESP8266 WiFi模块",H289)),1,0)+IF(ISNUMBER(SEARCH("NRF24L01无线通信模块",H289)),1,0)+IF(ISNUMBER(SEARCH("蓝牙模块",H289)),1,0)+IF(ISNUMBER(SEARCH("语音识别模块",H289)),1,0)+IF(ISNUMBER(SEARCH("语音播报模块",H289)),1,0)+IF(ISNUMBER(SEARCH("RFID模块",H289)),1,0)+IF(ISNUMBER(SEARCH("RFID读卡模块",H289)),1,0)+IF(ISNUMBER(SEARCH("GPS定位模块",H289)),1,0)+IF(ISNUMBER(SEARCH("GSM通信模块",H289)),1,0)+IF(ISNUMBER(SEARCH("摄像头模块",H289)),1,0)+IF(ISNUMBER(SEARCH("人脸识别模块",H289)),1,0)+IF(ISNUMBER(SEARCH("手势识别传感器",H289)),1,0)))</f>
        <v>75</v>
      </c>
      <c r="M289" s="12">
        <f>计价规则!$B$4+计价规则!$B$5*IF(H289="",0,LEN(H289)-LEN(SUBSTITUTE(H289,"、",""))+1)</f>
        <v>70</v>
      </c>
      <c r="N289" s="12">
        <v>200</v>
      </c>
      <c r="O289" s="12">
        <f>计价规则!$B$6</f>
        <v>100</v>
      </c>
      <c r="P289" s="12">
        <f>计价规则!$B$6</f>
        <v>100</v>
      </c>
      <c r="Q289" s="12">
        <f>计价规则!$B$6</f>
        <v>100</v>
      </c>
      <c r="R289" s="12">
        <f>计价规则!$B$7</f>
        <v>400</v>
      </c>
      <c r="S289" s="8" t="s">
        <v>26</v>
      </c>
      <c r="T289" s="13">
        <v>288</v>
      </c>
    </row>
    <row r="290" ht="26" customHeight="1" spans="1:20">
      <c r="A290" s="8">
        <f t="shared" si="4"/>
        <v>289</v>
      </c>
      <c r="B290" s="8" t="s">
        <v>683</v>
      </c>
      <c r="C290" s="14" t="s">
        <v>834</v>
      </c>
      <c r="D290" s="10" t="s">
        <v>835</v>
      </c>
      <c r="E290" s="11" t="s">
        <v>283</v>
      </c>
      <c r="F290" s="11"/>
      <c r="G290" s="10" t="s">
        <v>54</v>
      </c>
      <c r="H290" s="10" t="s">
        <v>836</v>
      </c>
      <c r="I290" s="10"/>
      <c r="J290" s="10"/>
      <c r="K290" s="10"/>
      <c r="L290" s="12">
        <f>计价规则!$B$2+计价规则!$B$3*MAX(0,IF(H290="",0,LEN(H290)-LEN(SUBSTITUTE(H290,"、",""))+1)-(IF(ISNUMBER(SEARCH("WiFi通信模块",H290)),1,0)+IF(ISNUMBER(SEARCH("ESP8266 WiFi模块",H290)),1,0)+IF(ISNUMBER(SEARCH("NRF24L01无线通信模块",H290)),1,0)+IF(ISNUMBER(SEARCH("蓝牙模块",H290)),1,0)+IF(ISNUMBER(SEARCH("语音识别模块",H290)),1,0)+IF(ISNUMBER(SEARCH("语音播报模块",H290)),1,0)+IF(ISNUMBER(SEARCH("RFID模块",H290)),1,0)+IF(ISNUMBER(SEARCH("RFID读卡模块",H290)),1,0)+IF(ISNUMBER(SEARCH("GPS定位模块",H290)),1,0)+IF(ISNUMBER(SEARCH("GSM通信模块",H290)),1,0)+IF(ISNUMBER(SEARCH("摄像头模块",H290)),1,0)+IF(ISNUMBER(SEARCH("人脸识别模块",H290)),1,0)+IF(ISNUMBER(SEARCH("手势识别传感器",H290)),1,0)))</f>
        <v>75</v>
      </c>
      <c r="M290" s="12">
        <f>计价规则!$B$4+计价规则!$B$5*IF(H290="",0,LEN(H290)-LEN(SUBSTITUTE(H290,"、",""))+1)</f>
        <v>70</v>
      </c>
      <c r="N290" s="12">
        <v>200</v>
      </c>
      <c r="O290" s="12">
        <f>计价规则!$B$6</f>
        <v>100</v>
      </c>
      <c r="P290" s="12">
        <f>计价规则!$B$6</f>
        <v>100</v>
      </c>
      <c r="Q290" s="12">
        <f>计价规则!$B$6</f>
        <v>100</v>
      </c>
      <c r="R290" s="12">
        <f>计价规则!$B$7</f>
        <v>400</v>
      </c>
      <c r="S290" s="8" t="s">
        <v>26</v>
      </c>
      <c r="T290" s="13">
        <v>289</v>
      </c>
    </row>
    <row r="291" ht="26" customHeight="1" spans="1:20">
      <c r="A291" s="8">
        <f t="shared" si="4"/>
        <v>290</v>
      </c>
      <c r="B291" s="8" t="s">
        <v>683</v>
      </c>
      <c r="C291" s="14" t="s">
        <v>837</v>
      </c>
      <c r="D291" s="10" t="s">
        <v>838</v>
      </c>
      <c r="E291" s="11" t="s">
        <v>283</v>
      </c>
      <c r="F291" s="11"/>
      <c r="G291" s="10" t="s">
        <v>24</v>
      </c>
      <c r="H291" s="10" t="s">
        <v>606</v>
      </c>
      <c r="I291" s="10"/>
      <c r="J291" s="10"/>
      <c r="K291" s="10"/>
      <c r="L291" s="12">
        <f>计价规则!$B$2+计价规则!$B$3*MAX(0,IF(H291="",0,LEN(H291)-LEN(SUBSTITUTE(H291,"、",""))+1)-(IF(ISNUMBER(SEARCH("WiFi通信模块",H291)),1,0)+IF(ISNUMBER(SEARCH("ESP8266 WiFi模块",H291)),1,0)+IF(ISNUMBER(SEARCH("NRF24L01无线通信模块",H291)),1,0)+IF(ISNUMBER(SEARCH("蓝牙模块",H291)),1,0)+IF(ISNUMBER(SEARCH("语音识别模块",H291)),1,0)+IF(ISNUMBER(SEARCH("语音播报模块",H291)),1,0)+IF(ISNUMBER(SEARCH("RFID模块",H291)),1,0)+IF(ISNUMBER(SEARCH("RFID读卡模块",H291)),1,0)+IF(ISNUMBER(SEARCH("GPS定位模块",H291)),1,0)+IF(ISNUMBER(SEARCH("GSM通信模块",H291)),1,0)+IF(ISNUMBER(SEARCH("摄像头模块",H291)),1,0)+IF(ISNUMBER(SEARCH("人脸识别模块",H291)),1,0)+IF(ISNUMBER(SEARCH("手势识别传感器",H291)),1,0)))</f>
        <v>120</v>
      </c>
      <c r="M291" s="12">
        <f>计价规则!$B$4+计价规则!$B$5*IF(H291="",0,LEN(H291)-LEN(SUBSTITUTE(H291,"、",""))+1)</f>
        <v>130</v>
      </c>
      <c r="N291" s="12">
        <v>200</v>
      </c>
      <c r="O291" s="12">
        <f>计价规则!$B$6</f>
        <v>100</v>
      </c>
      <c r="P291" s="12">
        <f>计价规则!$B$6</f>
        <v>100</v>
      </c>
      <c r="Q291" s="12">
        <f>计价规则!$B$6</f>
        <v>100</v>
      </c>
      <c r="R291" s="12">
        <f>计价规则!$B$7</f>
        <v>400</v>
      </c>
      <c r="S291" s="8" t="s">
        <v>26</v>
      </c>
      <c r="T291" s="13">
        <v>290</v>
      </c>
    </row>
    <row r="292" ht="26" customHeight="1" spans="1:20">
      <c r="A292" s="8">
        <f t="shared" si="4"/>
        <v>291</v>
      </c>
      <c r="B292" s="8" t="s">
        <v>683</v>
      </c>
      <c r="C292" s="14" t="s">
        <v>839</v>
      </c>
      <c r="D292" s="10" t="s">
        <v>285</v>
      </c>
      <c r="E292" s="11" t="s">
        <v>283</v>
      </c>
      <c r="F292" s="11"/>
      <c r="G292" s="10" t="s">
        <v>69</v>
      </c>
      <c r="H292" s="10" t="s">
        <v>214</v>
      </c>
      <c r="I292" s="10"/>
      <c r="J292" s="10"/>
      <c r="K292" s="10"/>
      <c r="L292" s="12">
        <f>计价规则!$B$2+计价规则!$B$3*MAX(0,IF(H292="",0,LEN(H292)-LEN(SUBSTITUTE(H292,"、",""))+1)-(IF(ISNUMBER(SEARCH("WiFi通信模块",H292)),1,0)+IF(ISNUMBER(SEARCH("ESP8266 WiFi模块",H292)),1,0)+IF(ISNUMBER(SEARCH("NRF24L01无线通信模块",H292)),1,0)+IF(ISNUMBER(SEARCH("蓝牙模块",H292)),1,0)+IF(ISNUMBER(SEARCH("语音识别模块",H292)),1,0)+IF(ISNUMBER(SEARCH("语音播报模块",H292)),1,0)+IF(ISNUMBER(SEARCH("RFID模块",H292)),1,0)+IF(ISNUMBER(SEARCH("RFID读卡模块",H292)),1,0)+IF(ISNUMBER(SEARCH("GPS定位模块",H292)),1,0)+IF(ISNUMBER(SEARCH("GSM通信模块",H292)),1,0)+IF(ISNUMBER(SEARCH("摄像头模块",H292)),1,0)+IF(ISNUMBER(SEARCH("人脸识别模块",H292)),1,0)+IF(ISNUMBER(SEARCH("手势识别传感器",H292)),1,0)))</f>
        <v>90</v>
      </c>
      <c r="M292" s="12">
        <f>计价规则!$B$4+计价规则!$B$5*IF(H292="",0,LEN(H292)-LEN(SUBSTITUTE(H292,"、",""))+1)</f>
        <v>90</v>
      </c>
      <c r="N292" s="12">
        <v>200</v>
      </c>
      <c r="O292" s="12">
        <f>计价规则!$B$6</f>
        <v>100</v>
      </c>
      <c r="P292" s="12">
        <f>计价规则!$B$6</f>
        <v>100</v>
      </c>
      <c r="Q292" s="12">
        <f>计价规则!$B$6</f>
        <v>100</v>
      </c>
      <c r="R292" s="12">
        <f>计价规则!$B$7</f>
        <v>400</v>
      </c>
      <c r="S292" s="8" t="s">
        <v>26</v>
      </c>
      <c r="T292" s="13">
        <v>291</v>
      </c>
    </row>
    <row r="293" ht="26" customHeight="1" spans="1:20">
      <c r="A293" s="8">
        <f t="shared" si="4"/>
        <v>292</v>
      </c>
      <c r="B293" s="8" t="s">
        <v>683</v>
      </c>
      <c r="C293" s="14" t="s">
        <v>840</v>
      </c>
      <c r="D293" s="10" t="s">
        <v>841</v>
      </c>
      <c r="E293" s="11" t="s">
        <v>283</v>
      </c>
      <c r="F293" s="11"/>
      <c r="G293" s="10" t="s">
        <v>62</v>
      </c>
      <c r="H293" s="10" t="s">
        <v>842</v>
      </c>
      <c r="I293" s="10"/>
      <c r="J293" s="10"/>
      <c r="K293" s="10"/>
      <c r="L293" s="12">
        <f>计价规则!$B$2+计价规则!$B$3*MAX(0,IF(H293="",0,LEN(H293)-LEN(SUBSTITUTE(H293,"、",""))+1)-(IF(ISNUMBER(SEARCH("WiFi通信模块",H293)),1,0)+IF(ISNUMBER(SEARCH("ESP8266 WiFi模块",H293)),1,0)+IF(ISNUMBER(SEARCH("NRF24L01无线通信模块",H293)),1,0)+IF(ISNUMBER(SEARCH("蓝牙模块",H293)),1,0)+IF(ISNUMBER(SEARCH("语音识别模块",H293)),1,0)+IF(ISNUMBER(SEARCH("语音播报模块",H293)),1,0)+IF(ISNUMBER(SEARCH("RFID模块",H293)),1,0)+IF(ISNUMBER(SEARCH("RFID读卡模块",H293)),1,0)+IF(ISNUMBER(SEARCH("GPS定位模块",H293)),1,0)+IF(ISNUMBER(SEARCH("GSM通信模块",H293)),1,0)+IF(ISNUMBER(SEARCH("摄像头模块",H293)),1,0)+IF(ISNUMBER(SEARCH("人脸识别模块",H293)),1,0)+IF(ISNUMBER(SEARCH("手势识别传感器",H293)),1,0)))</f>
        <v>90</v>
      </c>
      <c r="M293" s="12">
        <f>计价规则!$B$4+计价规则!$B$5*IF(H293="",0,LEN(H293)-LEN(SUBSTITUTE(H293,"、",""))+1)</f>
        <v>90</v>
      </c>
      <c r="N293" s="12">
        <v>200</v>
      </c>
      <c r="O293" s="12">
        <f>计价规则!$B$6</f>
        <v>100</v>
      </c>
      <c r="P293" s="12">
        <f>计价规则!$B$6</f>
        <v>100</v>
      </c>
      <c r="Q293" s="12">
        <f>计价规则!$B$6</f>
        <v>100</v>
      </c>
      <c r="R293" s="12">
        <f>计价规则!$B$7</f>
        <v>400</v>
      </c>
      <c r="S293" s="8" t="s">
        <v>26</v>
      </c>
      <c r="T293" s="13">
        <v>292</v>
      </c>
    </row>
    <row r="294" ht="26" customHeight="1" spans="1:20">
      <c r="A294" s="8">
        <f t="shared" si="4"/>
        <v>293</v>
      </c>
      <c r="B294" s="8" t="s">
        <v>683</v>
      </c>
      <c r="C294" s="14" t="s">
        <v>843</v>
      </c>
      <c r="D294" s="10" t="s">
        <v>844</v>
      </c>
      <c r="E294" s="11" t="s">
        <v>283</v>
      </c>
      <c r="F294" s="11"/>
      <c r="G294" s="10" t="s">
        <v>24</v>
      </c>
      <c r="H294" s="10" t="s">
        <v>294</v>
      </c>
      <c r="I294" s="10"/>
      <c r="J294" s="10"/>
      <c r="K294" s="10"/>
      <c r="L294" s="12">
        <f>计价规则!$B$2+计价规则!$B$3*MAX(0,IF(H294="",0,LEN(H294)-LEN(SUBSTITUTE(H294,"、",""))+1)-(IF(ISNUMBER(SEARCH("WiFi通信模块",H294)),1,0)+IF(ISNUMBER(SEARCH("ESP8266 WiFi模块",H294)),1,0)+IF(ISNUMBER(SEARCH("NRF24L01无线通信模块",H294)),1,0)+IF(ISNUMBER(SEARCH("蓝牙模块",H294)),1,0)+IF(ISNUMBER(SEARCH("语音识别模块",H294)),1,0)+IF(ISNUMBER(SEARCH("语音播报模块",H294)),1,0)+IF(ISNUMBER(SEARCH("RFID模块",H294)),1,0)+IF(ISNUMBER(SEARCH("RFID读卡模块",H294)),1,0)+IF(ISNUMBER(SEARCH("GPS定位模块",H294)),1,0)+IF(ISNUMBER(SEARCH("GSM通信模块",H294)),1,0)+IF(ISNUMBER(SEARCH("摄像头模块",H294)),1,0)+IF(ISNUMBER(SEARCH("人脸识别模块",H294)),1,0)+IF(ISNUMBER(SEARCH("手势识别传感器",H294)),1,0)))</f>
        <v>90</v>
      </c>
      <c r="M294" s="12">
        <f>计价规则!$B$4+计价规则!$B$5*IF(H294="",0,LEN(H294)-LEN(SUBSTITUTE(H294,"、",""))+1)</f>
        <v>90</v>
      </c>
      <c r="N294" s="12">
        <v>200</v>
      </c>
      <c r="O294" s="12">
        <f>计价规则!$B$6</f>
        <v>100</v>
      </c>
      <c r="P294" s="12">
        <f>计价规则!$B$6</f>
        <v>100</v>
      </c>
      <c r="Q294" s="12">
        <f>计价规则!$B$6</f>
        <v>100</v>
      </c>
      <c r="R294" s="12">
        <f>计价规则!$B$7</f>
        <v>400</v>
      </c>
      <c r="S294" s="8" t="s">
        <v>26</v>
      </c>
      <c r="T294" s="13">
        <v>293</v>
      </c>
    </row>
    <row r="295" ht="26" customHeight="1" spans="1:20">
      <c r="A295" s="8">
        <f t="shared" si="4"/>
        <v>294</v>
      </c>
      <c r="B295" s="8" t="s">
        <v>683</v>
      </c>
      <c r="C295" s="14" t="s">
        <v>845</v>
      </c>
      <c r="D295" s="10" t="s">
        <v>846</v>
      </c>
      <c r="E295" s="11" t="s">
        <v>283</v>
      </c>
      <c r="F295" s="11"/>
      <c r="G295" s="10" t="s">
        <v>40</v>
      </c>
      <c r="H295" s="10" t="s">
        <v>41</v>
      </c>
      <c r="I295" s="10"/>
      <c r="J295" s="10"/>
      <c r="K295" s="10"/>
      <c r="L295" s="12">
        <f>计价规则!$B$2+计价规则!$B$3*MAX(0,IF(H295="",0,LEN(H295)-LEN(SUBSTITUTE(H295,"、",""))+1)-(IF(ISNUMBER(SEARCH("WiFi通信模块",H295)),1,0)+IF(ISNUMBER(SEARCH("ESP8266 WiFi模块",H295)),1,0)+IF(ISNUMBER(SEARCH("NRF24L01无线通信模块",H295)),1,0)+IF(ISNUMBER(SEARCH("蓝牙模块",H295)),1,0)+IF(ISNUMBER(SEARCH("语音识别模块",H295)),1,0)+IF(ISNUMBER(SEARCH("语音播报模块",H295)),1,0)+IF(ISNUMBER(SEARCH("RFID模块",H295)),1,0)+IF(ISNUMBER(SEARCH("RFID读卡模块",H295)),1,0)+IF(ISNUMBER(SEARCH("GPS定位模块",H295)),1,0)+IF(ISNUMBER(SEARCH("GSM通信模块",H295)),1,0)+IF(ISNUMBER(SEARCH("摄像头模块",H295)),1,0)+IF(ISNUMBER(SEARCH("人脸识别模块",H295)),1,0)+IF(ISNUMBER(SEARCH("手势识别传感器",H295)),1,0)))</f>
        <v>120</v>
      </c>
      <c r="M295" s="12">
        <f>计价规则!$B$4+计价规则!$B$5*IF(H295="",0,LEN(H295)-LEN(SUBSTITUTE(H295,"、",""))+1)</f>
        <v>130</v>
      </c>
      <c r="N295" s="12">
        <v>200</v>
      </c>
      <c r="O295" s="12">
        <f>计价规则!$B$6</f>
        <v>100</v>
      </c>
      <c r="P295" s="12">
        <f>计价规则!$B$6</f>
        <v>100</v>
      </c>
      <c r="Q295" s="12">
        <f>计价规则!$B$6</f>
        <v>100</v>
      </c>
      <c r="R295" s="12">
        <f>计价规则!$B$7</f>
        <v>400</v>
      </c>
      <c r="S295" s="8" t="s">
        <v>26</v>
      </c>
      <c r="T295" s="13">
        <v>294</v>
      </c>
    </row>
    <row r="296" ht="26" customHeight="1" spans="1:20">
      <c r="A296" s="8">
        <f t="shared" si="4"/>
        <v>295</v>
      </c>
      <c r="B296" s="8" t="s">
        <v>683</v>
      </c>
      <c r="C296" s="14" t="s">
        <v>847</v>
      </c>
      <c r="D296" s="10" t="s">
        <v>848</v>
      </c>
      <c r="E296" s="11" t="s">
        <v>283</v>
      </c>
      <c r="F296" s="11"/>
      <c r="G296" s="10" t="s">
        <v>588</v>
      </c>
      <c r="H296" s="10" t="s">
        <v>624</v>
      </c>
      <c r="I296" s="10"/>
      <c r="J296" s="10"/>
      <c r="K296" s="10"/>
      <c r="L296" s="12">
        <f>计价规则!$B$2+计价规则!$B$3*MAX(0,IF(H296="",0,LEN(H296)-LEN(SUBSTITUTE(H296,"、",""))+1)-(IF(ISNUMBER(SEARCH("WiFi通信模块",H296)),1,0)+IF(ISNUMBER(SEARCH("ESP8266 WiFi模块",H296)),1,0)+IF(ISNUMBER(SEARCH("NRF24L01无线通信模块",H296)),1,0)+IF(ISNUMBER(SEARCH("蓝牙模块",H296)),1,0)+IF(ISNUMBER(SEARCH("语音识别模块",H296)),1,0)+IF(ISNUMBER(SEARCH("语音播报模块",H296)),1,0)+IF(ISNUMBER(SEARCH("RFID模块",H296)),1,0)+IF(ISNUMBER(SEARCH("RFID读卡模块",H296)),1,0)+IF(ISNUMBER(SEARCH("GPS定位模块",H296)),1,0)+IF(ISNUMBER(SEARCH("GSM通信模块",H296)),1,0)+IF(ISNUMBER(SEARCH("摄像头模块",H296)),1,0)+IF(ISNUMBER(SEARCH("人脸识别模块",H296)),1,0)+IF(ISNUMBER(SEARCH("手势识别传感器",H296)),1,0)))</f>
        <v>105</v>
      </c>
      <c r="M296" s="12">
        <f>计价规则!$B$4+计价规则!$B$5*IF(H296="",0,LEN(H296)-LEN(SUBSTITUTE(H296,"、",""))+1)</f>
        <v>110</v>
      </c>
      <c r="N296" s="12">
        <v>200</v>
      </c>
      <c r="O296" s="12">
        <f>计价规则!$B$6</f>
        <v>100</v>
      </c>
      <c r="P296" s="12">
        <f>计价规则!$B$6</f>
        <v>100</v>
      </c>
      <c r="Q296" s="12">
        <f>计价规则!$B$6</f>
        <v>100</v>
      </c>
      <c r="R296" s="12">
        <f>计价规则!$B$7</f>
        <v>400</v>
      </c>
      <c r="S296" s="8" t="s">
        <v>26</v>
      </c>
      <c r="T296" s="13">
        <v>295</v>
      </c>
    </row>
    <row r="297" ht="26" customHeight="1" spans="1:20">
      <c r="A297" s="8">
        <f t="shared" si="4"/>
        <v>296</v>
      </c>
      <c r="B297" s="8" t="s">
        <v>683</v>
      </c>
      <c r="C297" s="14" t="s">
        <v>849</v>
      </c>
      <c r="D297" s="10" t="s">
        <v>850</v>
      </c>
      <c r="E297" s="11" t="s">
        <v>283</v>
      </c>
      <c r="F297" s="11"/>
      <c r="G297" s="10" t="s">
        <v>24</v>
      </c>
      <c r="H297" s="10" t="s">
        <v>851</v>
      </c>
      <c r="I297" s="10"/>
      <c r="J297" s="10"/>
      <c r="K297" s="10"/>
      <c r="L297" s="12">
        <f>计价规则!$B$2+计价规则!$B$3*MAX(0,IF(H297="",0,LEN(H297)-LEN(SUBSTITUTE(H297,"、",""))+1)-(IF(ISNUMBER(SEARCH("WiFi通信模块",H297)),1,0)+IF(ISNUMBER(SEARCH("ESP8266 WiFi模块",H297)),1,0)+IF(ISNUMBER(SEARCH("NRF24L01无线通信模块",H297)),1,0)+IF(ISNUMBER(SEARCH("蓝牙模块",H297)),1,0)+IF(ISNUMBER(SEARCH("语音识别模块",H297)),1,0)+IF(ISNUMBER(SEARCH("语音播报模块",H297)),1,0)+IF(ISNUMBER(SEARCH("RFID模块",H297)),1,0)+IF(ISNUMBER(SEARCH("RFID读卡模块",H297)),1,0)+IF(ISNUMBER(SEARCH("GPS定位模块",H297)),1,0)+IF(ISNUMBER(SEARCH("GSM通信模块",H297)),1,0)+IF(ISNUMBER(SEARCH("摄像头模块",H297)),1,0)+IF(ISNUMBER(SEARCH("人脸识别模块",H297)),1,0)+IF(ISNUMBER(SEARCH("手势识别传感器",H297)),1,0)))</f>
        <v>120</v>
      </c>
      <c r="M297" s="12">
        <f>计价规则!$B$4+计价规则!$B$5*IF(H297="",0,LEN(H297)-LEN(SUBSTITUTE(H297,"、",""))+1)</f>
        <v>130</v>
      </c>
      <c r="N297" s="12">
        <v>200</v>
      </c>
      <c r="O297" s="12">
        <f>计价规则!$B$6</f>
        <v>100</v>
      </c>
      <c r="P297" s="12">
        <f>计价规则!$B$6</f>
        <v>100</v>
      </c>
      <c r="Q297" s="12">
        <f>计价规则!$B$6</f>
        <v>100</v>
      </c>
      <c r="R297" s="12">
        <f>计价规则!$B$7</f>
        <v>400</v>
      </c>
      <c r="S297" s="8" t="s">
        <v>26</v>
      </c>
      <c r="T297" s="13">
        <v>296</v>
      </c>
    </row>
    <row r="298" ht="26" customHeight="1" spans="1:20">
      <c r="A298" s="8">
        <f t="shared" si="4"/>
        <v>297</v>
      </c>
      <c r="B298" s="8" t="s">
        <v>683</v>
      </c>
      <c r="C298" s="14" t="s">
        <v>852</v>
      </c>
      <c r="D298" s="10" t="s">
        <v>853</v>
      </c>
      <c r="E298" s="11" t="s">
        <v>283</v>
      </c>
      <c r="F298" s="11"/>
      <c r="G298" s="10" t="s">
        <v>47</v>
      </c>
      <c r="H298" s="10" t="s">
        <v>481</v>
      </c>
      <c r="I298" s="10"/>
      <c r="J298" s="10"/>
      <c r="K298" s="10"/>
      <c r="L298" s="12">
        <f>计价规则!$B$2+计价规则!$B$3*MAX(0,IF(H298="",0,LEN(H298)-LEN(SUBSTITUTE(H298,"、",""))+1)-(IF(ISNUMBER(SEARCH("WiFi通信模块",H298)),1,0)+IF(ISNUMBER(SEARCH("ESP8266 WiFi模块",H298)),1,0)+IF(ISNUMBER(SEARCH("NRF24L01无线通信模块",H298)),1,0)+IF(ISNUMBER(SEARCH("蓝牙模块",H298)),1,0)+IF(ISNUMBER(SEARCH("语音识别模块",H298)),1,0)+IF(ISNUMBER(SEARCH("语音播报模块",H298)),1,0)+IF(ISNUMBER(SEARCH("RFID模块",H298)),1,0)+IF(ISNUMBER(SEARCH("RFID读卡模块",H298)),1,0)+IF(ISNUMBER(SEARCH("GPS定位模块",H298)),1,0)+IF(ISNUMBER(SEARCH("GSM通信模块",H298)),1,0)+IF(ISNUMBER(SEARCH("摄像头模块",H298)),1,0)+IF(ISNUMBER(SEARCH("人脸识别模块",H298)),1,0)+IF(ISNUMBER(SEARCH("手势识别传感器",H298)),1,0)))</f>
        <v>105</v>
      </c>
      <c r="M298" s="12">
        <f>计价规则!$B$4+计价规则!$B$5*IF(H298="",0,LEN(H298)-LEN(SUBSTITUTE(H298,"、",""))+1)</f>
        <v>110</v>
      </c>
      <c r="N298" s="12">
        <v>200</v>
      </c>
      <c r="O298" s="12">
        <f>计价规则!$B$6</f>
        <v>100</v>
      </c>
      <c r="P298" s="12">
        <f>计价规则!$B$6</f>
        <v>100</v>
      </c>
      <c r="Q298" s="12">
        <f>计价规则!$B$6</f>
        <v>100</v>
      </c>
      <c r="R298" s="12">
        <f>计价规则!$B$7</f>
        <v>400</v>
      </c>
      <c r="S298" s="8" t="s">
        <v>26</v>
      </c>
      <c r="T298" s="13">
        <v>297</v>
      </c>
    </row>
    <row r="299" ht="26" customHeight="1" spans="1:20">
      <c r="A299" s="8">
        <f t="shared" si="4"/>
        <v>298</v>
      </c>
      <c r="B299" s="8" t="s">
        <v>683</v>
      </c>
      <c r="C299" s="14" t="s">
        <v>854</v>
      </c>
      <c r="D299" s="10" t="s">
        <v>855</v>
      </c>
      <c r="E299" s="11" t="s">
        <v>283</v>
      </c>
      <c r="F299" s="11"/>
      <c r="G299" s="10" t="s">
        <v>47</v>
      </c>
      <c r="H299" s="10" t="s">
        <v>856</v>
      </c>
      <c r="I299" s="10"/>
      <c r="J299" s="10"/>
      <c r="K299" s="10"/>
      <c r="L299" s="12">
        <f>计价规则!$B$2+计价规则!$B$3*MAX(0,IF(H299="",0,LEN(H299)-LEN(SUBSTITUTE(H299,"、",""))+1)-(IF(ISNUMBER(SEARCH("WiFi通信模块",H299)),1,0)+IF(ISNUMBER(SEARCH("ESP8266 WiFi模块",H299)),1,0)+IF(ISNUMBER(SEARCH("NRF24L01无线通信模块",H299)),1,0)+IF(ISNUMBER(SEARCH("蓝牙模块",H299)),1,0)+IF(ISNUMBER(SEARCH("语音识别模块",H299)),1,0)+IF(ISNUMBER(SEARCH("语音播报模块",H299)),1,0)+IF(ISNUMBER(SEARCH("RFID模块",H299)),1,0)+IF(ISNUMBER(SEARCH("RFID读卡模块",H299)),1,0)+IF(ISNUMBER(SEARCH("GPS定位模块",H299)),1,0)+IF(ISNUMBER(SEARCH("GSM通信模块",H299)),1,0)+IF(ISNUMBER(SEARCH("摄像头模块",H299)),1,0)+IF(ISNUMBER(SEARCH("人脸识别模块",H299)),1,0)+IF(ISNUMBER(SEARCH("手势识别传感器",H299)),1,0)))</f>
        <v>105</v>
      </c>
      <c r="M299" s="12">
        <f>计价规则!$B$4+计价规则!$B$5*IF(H299="",0,LEN(H299)-LEN(SUBSTITUTE(H299,"、",""))+1)</f>
        <v>110</v>
      </c>
      <c r="N299" s="12">
        <v>200</v>
      </c>
      <c r="O299" s="12">
        <f>计价规则!$B$6</f>
        <v>100</v>
      </c>
      <c r="P299" s="12">
        <f>计价规则!$B$6</f>
        <v>100</v>
      </c>
      <c r="Q299" s="12">
        <f>计价规则!$B$6</f>
        <v>100</v>
      </c>
      <c r="R299" s="12">
        <f>计价规则!$B$7</f>
        <v>400</v>
      </c>
      <c r="S299" s="8" t="s">
        <v>26</v>
      </c>
      <c r="T299" s="13">
        <v>298</v>
      </c>
    </row>
    <row r="300" ht="26" customHeight="1" spans="1:20">
      <c r="A300" s="8">
        <f t="shared" si="4"/>
        <v>299</v>
      </c>
      <c r="B300" s="8" t="s">
        <v>683</v>
      </c>
      <c r="C300" s="14" t="s">
        <v>857</v>
      </c>
      <c r="D300" s="10" t="s">
        <v>858</v>
      </c>
      <c r="E300" s="11" t="s">
        <v>283</v>
      </c>
      <c r="F300" s="11"/>
      <c r="G300" s="10" t="s">
        <v>47</v>
      </c>
      <c r="H300" s="10" t="s">
        <v>859</v>
      </c>
      <c r="I300" s="10"/>
      <c r="J300" s="10"/>
      <c r="K300" s="10"/>
      <c r="L300" s="12">
        <f>计价规则!$B$2+计价规则!$B$3*MAX(0,IF(H300="",0,LEN(H300)-LEN(SUBSTITUTE(H300,"、",""))+1)-(IF(ISNUMBER(SEARCH("WiFi通信模块",H300)),1,0)+IF(ISNUMBER(SEARCH("ESP8266 WiFi模块",H300)),1,0)+IF(ISNUMBER(SEARCH("NRF24L01无线通信模块",H300)),1,0)+IF(ISNUMBER(SEARCH("蓝牙模块",H300)),1,0)+IF(ISNUMBER(SEARCH("语音识别模块",H300)),1,0)+IF(ISNUMBER(SEARCH("语音播报模块",H300)),1,0)+IF(ISNUMBER(SEARCH("RFID模块",H300)),1,0)+IF(ISNUMBER(SEARCH("RFID读卡模块",H300)),1,0)+IF(ISNUMBER(SEARCH("GPS定位模块",H300)),1,0)+IF(ISNUMBER(SEARCH("GSM通信模块",H300)),1,0)+IF(ISNUMBER(SEARCH("摄像头模块",H300)),1,0)+IF(ISNUMBER(SEARCH("人脸识别模块",H300)),1,0)+IF(ISNUMBER(SEARCH("手势识别传感器",H300)),1,0)))</f>
        <v>105</v>
      </c>
      <c r="M300" s="12">
        <f>计价规则!$B$4+计价规则!$B$5*IF(H300="",0,LEN(H300)-LEN(SUBSTITUTE(H300,"、",""))+1)</f>
        <v>110</v>
      </c>
      <c r="N300" s="12">
        <v>200</v>
      </c>
      <c r="O300" s="12">
        <f>计价规则!$B$6</f>
        <v>100</v>
      </c>
      <c r="P300" s="12">
        <f>计价规则!$B$6</f>
        <v>100</v>
      </c>
      <c r="Q300" s="12">
        <f>计价规则!$B$6</f>
        <v>100</v>
      </c>
      <c r="R300" s="12">
        <f>计价规则!$B$7</f>
        <v>400</v>
      </c>
      <c r="S300" s="8" t="s">
        <v>26</v>
      </c>
      <c r="T300" s="13">
        <v>299</v>
      </c>
    </row>
    <row r="301" ht="26" customHeight="1" spans="1:20">
      <c r="A301" s="8">
        <f t="shared" si="4"/>
        <v>300</v>
      </c>
      <c r="B301" s="8" t="s">
        <v>683</v>
      </c>
      <c r="C301" s="14" t="s">
        <v>860</v>
      </c>
      <c r="D301" s="10" t="s">
        <v>861</v>
      </c>
      <c r="E301" s="11" t="s">
        <v>283</v>
      </c>
      <c r="F301" s="11"/>
      <c r="G301" s="10" t="s">
        <v>62</v>
      </c>
      <c r="H301" s="10" t="s">
        <v>862</v>
      </c>
      <c r="I301" s="10"/>
      <c r="J301" s="10"/>
      <c r="K301" s="10"/>
      <c r="L301" s="12">
        <f>计价规则!$B$2+计价规则!$B$3*MAX(0,IF(H301="",0,LEN(H301)-LEN(SUBSTITUTE(H301,"、",""))+1)-(IF(ISNUMBER(SEARCH("WiFi通信模块",H301)),1,0)+IF(ISNUMBER(SEARCH("ESP8266 WiFi模块",H301)),1,0)+IF(ISNUMBER(SEARCH("NRF24L01无线通信模块",H301)),1,0)+IF(ISNUMBER(SEARCH("蓝牙模块",H301)),1,0)+IF(ISNUMBER(SEARCH("语音识别模块",H301)),1,0)+IF(ISNUMBER(SEARCH("语音播报模块",H301)),1,0)+IF(ISNUMBER(SEARCH("RFID模块",H301)),1,0)+IF(ISNUMBER(SEARCH("RFID读卡模块",H301)),1,0)+IF(ISNUMBER(SEARCH("GPS定位模块",H301)),1,0)+IF(ISNUMBER(SEARCH("GSM通信模块",H301)),1,0)+IF(ISNUMBER(SEARCH("摄像头模块",H301)),1,0)+IF(ISNUMBER(SEARCH("人脸识别模块",H301)),1,0)+IF(ISNUMBER(SEARCH("手势识别传感器",H301)),1,0)))</f>
        <v>105</v>
      </c>
      <c r="M301" s="12">
        <f>计价规则!$B$4+计价规则!$B$5*IF(H301="",0,LEN(H301)-LEN(SUBSTITUTE(H301,"、",""))+1)</f>
        <v>110</v>
      </c>
      <c r="N301" s="12">
        <v>200</v>
      </c>
      <c r="O301" s="12">
        <f>计价规则!$B$6</f>
        <v>100</v>
      </c>
      <c r="P301" s="12">
        <f>计价规则!$B$6</f>
        <v>100</v>
      </c>
      <c r="Q301" s="12">
        <f>计价规则!$B$6</f>
        <v>100</v>
      </c>
      <c r="R301" s="12">
        <f>计价规则!$B$7</f>
        <v>400</v>
      </c>
      <c r="S301" s="8" t="s">
        <v>26</v>
      </c>
      <c r="T301" s="13">
        <v>300</v>
      </c>
    </row>
    <row r="302" ht="26" customHeight="1" spans="1:20">
      <c r="A302" s="8">
        <f t="shared" si="4"/>
        <v>301</v>
      </c>
      <c r="B302" s="8" t="s">
        <v>683</v>
      </c>
      <c r="C302" s="14" t="s">
        <v>863</v>
      </c>
      <c r="D302" s="10" t="s">
        <v>864</v>
      </c>
      <c r="E302" s="11" t="s">
        <v>283</v>
      </c>
      <c r="F302" s="11"/>
      <c r="G302" s="10" t="s">
        <v>47</v>
      </c>
      <c r="H302" s="10" t="s">
        <v>63</v>
      </c>
      <c r="I302" s="10"/>
      <c r="J302" s="10"/>
      <c r="K302" s="10"/>
      <c r="L302" s="12">
        <f>计价规则!$B$2+计价规则!$B$3*MAX(0,IF(H302="",0,LEN(H302)-LEN(SUBSTITUTE(H302,"、",""))+1)-(IF(ISNUMBER(SEARCH("WiFi通信模块",H302)),1,0)+IF(ISNUMBER(SEARCH("ESP8266 WiFi模块",H302)),1,0)+IF(ISNUMBER(SEARCH("NRF24L01无线通信模块",H302)),1,0)+IF(ISNUMBER(SEARCH("蓝牙模块",H302)),1,0)+IF(ISNUMBER(SEARCH("语音识别模块",H302)),1,0)+IF(ISNUMBER(SEARCH("语音播报模块",H302)),1,0)+IF(ISNUMBER(SEARCH("RFID模块",H302)),1,0)+IF(ISNUMBER(SEARCH("RFID读卡模块",H302)),1,0)+IF(ISNUMBER(SEARCH("GPS定位模块",H302)),1,0)+IF(ISNUMBER(SEARCH("GSM通信模块",H302)),1,0)+IF(ISNUMBER(SEARCH("摄像头模块",H302)),1,0)+IF(ISNUMBER(SEARCH("人脸识别模块",H302)),1,0)+IF(ISNUMBER(SEARCH("手势识别传感器",H302)),1,0)))</f>
        <v>105</v>
      </c>
      <c r="M302" s="12">
        <f>计价规则!$B$4+计价规则!$B$5*IF(H302="",0,LEN(H302)-LEN(SUBSTITUTE(H302,"、",""))+1)</f>
        <v>110</v>
      </c>
      <c r="N302" s="12">
        <v>200</v>
      </c>
      <c r="O302" s="12">
        <f>计价规则!$B$6</f>
        <v>100</v>
      </c>
      <c r="P302" s="12">
        <f>计价规则!$B$6</f>
        <v>100</v>
      </c>
      <c r="Q302" s="12">
        <f>计价规则!$B$6</f>
        <v>100</v>
      </c>
      <c r="R302" s="12">
        <f>计价规则!$B$7</f>
        <v>400</v>
      </c>
      <c r="S302" s="8" t="s">
        <v>26</v>
      </c>
      <c r="T302" s="13">
        <v>301</v>
      </c>
    </row>
    <row r="303" ht="26" customHeight="1" spans="1:20">
      <c r="A303" s="8">
        <f t="shared" si="4"/>
        <v>302</v>
      </c>
      <c r="B303" s="8" t="s">
        <v>683</v>
      </c>
      <c r="C303" s="14" t="s">
        <v>865</v>
      </c>
      <c r="D303" s="10" t="s">
        <v>866</v>
      </c>
      <c r="E303" s="11" t="s">
        <v>283</v>
      </c>
      <c r="F303" s="11"/>
      <c r="G303" s="10" t="s">
        <v>81</v>
      </c>
      <c r="H303" s="10" t="s">
        <v>82</v>
      </c>
      <c r="I303" s="10"/>
      <c r="J303" s="10"/>
      <c r="K303" s="10"/>
      <c r="L303" s="12">
        <f>计价规则!$B$2+计价规则!$B$3*MAX(0,IF(H303="",0,LEN(H303)-LEN(SUBSTITUTE(H303,"、",""))+1)-(IF(ISNUMBER(SEARCH("WiFi通信模块",H303)),1,0)+IF(ISNUMBER(SEARCH("ESP8266 WiFi模块",H303)),1,0)+IF(ISNUMBER(SEARCH("NRF24L01无线通信模块",H303)),1,0)+IF(ISNUMBER(SEARCH("蓝牙模块",H303)),1,0)+IF(ISNUMBER(SEARCH("语音识别模块",H303)),1,0)+IF(ISNUMBER(SEARCH("语音播报模块",H303)),1,0)+IF(ISNUMBER(SEARCH("RFID模块",H303)),1,0)+IF(ISNUMBER(SEARCH("RFID读卡模块",H303)),1,0)+IF(ISNUMBER(SEARCH("GPS定位模块",H303)),1,0)+IF(ISNUMBER(SEARCH("GSM通信模块",H303)),1,0)+IF(ISNUMBER(SEARCH("摄像头模块",H303)),1,0)+IF(ISNUMBER(SEARCH("人脸识别模块",H303)),1,0)+IF(ISNUMBER(SEARCH("手势识别传感器",H303)),1,0)))</f>
        <v>90</v>
      </c>
      <c r="M303" s="12">
        <f>计价规则!$B$4+计价规则!$B$5*IF(H303="",0,LEN(H303)-LEN(SUBSTITUTE(H303,"、",""))+1)</f>
        <v>90</v>
      </c>
      <c r="N303" s="12">
        <v>200</v>
      </c>
      <c r="O303" s="12">
        <f>计价规则!$B$6</f>
        <v>100</v>
      </c>
      <c r="P303" s="12">
        <f>计价规则!$B$6</f>
        <v>100</v>
      </c>
      <c r="Q303" s="12">
        <f>计价规则!$B$6</f>
        <v>100</v>
      </c>
      <c r="R303" s="12">
        <f>计价规则!$B$7</f>
        <v>400</v>
      </c>
      <c r="S303" s="8" t="s">
        <v>26</v>
      </c>
      <c r="T303" s="13">
        <v>302</v>
      </c>
    </row>
    <row r="304" ht="26" customHeight="1" spans="1:20">
      <c r="A304" s="8">
        <f t="shared" si="4"/>
        <v>303</v>
      </c>
      <c r="B304" s="8" t="s">
        <v>683</v>
      </c>
      <c r="C304" s="14" t="s">
        <v>867</v>
      </c>
      <c r="D304" s="10" t="s">
        <v>868</v>
      </c>
      <c r="E304" s="11" t="s">
        <v>283</v>
      </c>
      <c r="F304" s="11"/>
      <c r="G304" s="10" t="s">
        <v>81</v>
      </c>
      <c r="H304" s="10" t="s">
        <v>869</v>
      </c>
      <c r="I304" s="10"/>
      <c r="J304" s="10"/>
      <c r="K304" s="10"/>
      <c r="L304" s="12">
        <f>计价规则!$B$2+计价规则!$B$3*MAX(0,IF(H304="",0,LEN(H304)-LEN(SUBSTITUTE(H304,"、",""))+1)-(IF(ISNUMBER(SEARCH("WiFi通信模块",H304)),1,0)+IF(ISNUMBER(SEARCH("ESP8266 WiFi模块",H304)),1,0)+IF(ISNUMBER(SEARCH("NRF24L01无线通信模块",H304)),1,0)+IF(ISNUMBER(SEARCH("蓝牙模块",H304)),1,0)+IF(ISNUMBER(SEARCH("语音识别模块",H304)),1,0)+IF(ISNUMBER(SEARCH("语音播报模块",H304)),1,0)+IF(ISNUMBER(SEARCH("RFID模块",H304)),1,0)+IF(ISNUMBER(SEARCH("RFID读卡模块",H304)),1,0)+IF(ISNUMBER(SEARCH("GPS定位模块",H304)),1,0)+IF(ISNUMBER(SEARCH("GSM通信模块",H304)),1,0)+IF(ISNUMBER(SEARCH("摄像头模块",H304)),1,0)+IF(ISNUMBER(SEARCH("人脸识别模块",H304)),1,0)+IF(ISNUMBER(SEARCH("手势识别传感器",H304)),1,0)))</f>
        <v>90</v>
      </c>
      <c r="M304" s="12">
        <f>计价规则!$B$4+计价规则!$B$5*IF(H304="",0,LEN(H304)-LEN(SUBSTITUTE(H304,"、",""))+1)</f>
        <v>90</v>
      </c>
      <c r="N304" s="12">
        <v>200</v>
      </c>
      <c r="O304" s="12">
        <f>计价规则!$B$6</f>
        <v>100</v>
      </c>
      <c r="P304" s="12">
        <f>计价规则!$B$6</f>
        <v>100</v>
      </c>
      <c r="Q304" s="12">
        <f>计价规则!$B$6</f>
        <v>100</v>
      </c>
      <c r="R304" s="12">
        <f>计价规则!$B$7</f>
        <v>400</v>
      </c>
      <c r="S304" s="8" t="s">
        <v>26</v>
      </c>
      <c r="T304" s="13">
        <v>303</v>
      </c>
    </row>
    <row r="305" ht="26" customHeight="1" spans="1:20">
      <c r="A305" s="8">
        <f t="shared" si="4"/>
        <v>304</v>
      </c>
      <c r="B305" s="8" t="s">
        <v>683</v>
      </c>
      <c r="C305" s="14" t="s">
        <v>870</v>
      </c>
      <c r="D305" s="10" t="s">
        <v>871</v>
      </c>
      <c r="E305" s="11" t="s">
        <v>283</v>
      </c>
      <c r="F305" s="11"/>
      <c r="G305" s="10" t="s">
        <v>24</v>
      </c>
      <c r="H305" s="10" t="s">
        <v>198</v>
      </c>
      <c r="I305" s="10"/>
      <c r="J305" s="10"/>
      <c r="K305" s="10"/>
      <c r="L305" s="12">
        <f>计价规则!$B$2+计价规则!$B$3*MAX(0,IF(H305="",0,LEN(H305)-LEN(SUBSTITUTE(H305,"、",""))+1)-(IF(ISNUMBER(SEARCH("WiFi通信模块",H305)),1,0)+IF(ISNUMBER(SEARCH("ESP8266 WiFi模块",H305)),1,0)+IF(ISNUMBER(SEARCH("NRF24L01无线通信模块",H305)),1,0)+IF(ISNUMBER(SEARCH("蓝牙模块",H305)),1,0)+IF(ISNUMBER(SEARCH("语音识别模块",H305)),1,0)+IF(ISNUMBER(SEARCH("语音播报模块",H305)),1,0)+IF(ISNUMBER(SEARCH("RFID模块",H305)),1,0)+IF(ISNUMBER(SEARCH("RFID读卡模块",H305)),1,0)+IF(ISNUMBER(SEARCH("GPS定位模块",H305)),1,0)+IF(ISNUMBER(SEARCH("GSM通信模块",H305)),1,0)+IF(ISNUMBER(SEARCH("摄像头模块",H305)),1,0)+IF(ISNUMBER(SEARCH("人脸识别模块",H305)),1,0)+IF(ISNUMBER(SEARCH("手势识别传感器",H305)),1,0)))</f>
        <v>90</v>
      </c>
      <c r="M305" s="12">
        <f>计价规则!$B$4+计价规则!$B$5*IF(H305="",0,LEN(H305)-LEN(SUBSTITUTE(H305,"、",""))+1)</f>
        <v>90</v>
      </c>
      <c r="N305" s="12">
        <v>200</v>
      </c>
      <c r="O305" s="12">
        <f>计价规则!$B$6</f>
        <v>100</v>
      </c>
      <c r="P305" s="12">
        <f>计价规则!$B$6</f>
        <v>100</v>
      </c>
      <c r="Q305" s="12">
        <f>计价规则!$B$6</f>
        <v>100</v>
      </c>
      <c r="R305" s="12">
        <f>计价规则!$B$7</f>
        <v>400</v>
      </c>
      <c r="S305" s="8" t="s">
        <v>26</v>
      </c>
      <c r="T305" s="13">
        <v>304</v>
      </c>
    </row>
    <row r="306" ht="26" customHeight="1" spans="1:20">
      <c r="A306" s="8">
        <f t="shared" si="4"/>
        <v>305</v>
      </c>
      <c r="B306" s="8" t="s">
        <v>683</v>
      </c>
      <c r="C306" s="14" t="s">
        <v>872</v>
      </c>
      <c r="D306" s="10" t="s">
        <v>873</v>
      </c>
      <c r="E306" s="11" t="s">
        <v>283</v>
      </c>
      <c r="F306" s="11"/>
      <c r="G306" s="10" t="s">
        <v>24</v>
      </c>
      <c r="H306" s="10" t="s">
        <v>874</v>
      </c>
      <c r="I306" s="10"/>
      <c r="J306" s="10"/>
      <c r="K306" s="10"/>
      <c r="L306" s="12">
        <f>计价规则!$B$2+计价规则!$B$3*MAX(0,IF(H306="",0,LEN(H306)-LEN(SUBSTITUTE(H306,"、",""))+1)-(IF(ISNUMBER(SEARCH("WiFi通信模块",H306)),1,0)+IF(ISNUMBER(SEARCH("ESP8266 WiFi模块",H306)),1,0)+IF(ISNUMBER(SEARCH("NRF24L01无线通信模块",H306)),1,0)+IF(ISNUMBER(SEARCH("蓝牙模块",H306)),1,0)+IF(ISNUMBER(SEARCH("语音识别模块",H306)),1,0)+IF(ISNUMBER(SEARCH("语音播报模块",H306)),1,0)+IF(ISNUMBER(SEARCH("RFID模块",H306)),1,0)+IF(ISNUMBER(SEARCH("RFID读卡模块",H306)),1,0)+IF(ISNUMBER(SEARCH("GPS定位模块",H306)),1,0)+IF(ISNUMBER(SEARCH("GSM通信模块",H306)),1,0)+IF(ISNUMBER(SEARCH("摄像头模块",H306)),1,0)+IF(ISNUMBER(SEARCH("人脸识别模块",H306)),1,0)+IF(ISNUMBER(SEARCH("手势识别传感器",H306)),1,0)))</f>
        <v>105</v>
      </c>
      <c r="M306" s="12">
        <f>计价规则!$B$4+计价规则!$B$5*IF(H306="",0,LEN(H306)-LEN(SUBSTITUTE(H306,"、",""))+1)</f>
        <v>110</v>
      </c>
      <c r="N306" s="12">
        <v>200</v>
      </c>
      <c r="O306" s="12">
        <f>计价规则!$B$6</f>
        <v>100</v>
      </c>
      <c r="P306" s="12">
        <f>计价规则!$B$6</f>
        <v>100</v>
      </c>
      <c r="Q306" s="12">
        <f>计价规则!$B$6</f>
        <v>100</v>
      </c>
      <c r="R306" s="12">
        <f>计价规则!$B$7</f>
        <v>400</v>
      </c>
      <c r="S306" s="8" t="s">
        <v>26</v>
      </c>
      <c r="T306" s="13">
        <v>305</v>
      </c>
    </row>
    <row r="307" ht="26" customHeight="1" spans="1:20">
      <c r="A307" s="8">
        <f t="shared" si="4"/>
        <v>306</v>
      </c>
      <c r="B307" s="8" t="s">
        <v>683</v>
      </c>
      <c r="C307" s="14" t="s">
        <v>875</v>
      </c>
      <c r="D307" s="10" t="s">
        <v>876</v>
      </c>
      <c r="E307" s="11" t="s">
        <v>283</v>
      </c>
      <c r="F307" s="11"/>
      <c r="G307" s="10" t="s">
        <v>58</v>
      </c>
      <c r="H307" s="10" t="s">
        <v>877</v>
      </c>
      <c r="I307" s="10"/>
      <c r="J307" s="10"/>
      <c r="K307" s="10"/>
      <c r="L307" s="12">
        <f>计价规则!$B$2+计价规则!$B$3*MAX(0,IF(H307="",0,LEN(H307)-LEN(SUBSTITUTE(H307,"、",""))+1)-(IF(ISNUMBER(SEARCH("WiFi通信模块",H307)),1,0)+IF(ISNUMBER(SEARCH("ESP8266 WiFi模块",H307)),1,0)+IF(ISNUMBER(SEARCH("NRF24L01无线通信模块",H307)),1,0)+IF(ISNUMBER(SEARCH("蓝牙模块",H307)),1,0)+IF(ISNUMBER(SEARCH("语音识别模块",H307)),1,0)+IF(ISNUMBER(SEARCH("语音播报模块",H307)),1,0)+IF(ISNUMBER(SEARCH("RFID模块",H307)),1,0)+IF(ISNUMBER(SEARCH("RFID读卡模块",H307)),1,0)+IF(ISNUMBER(SEARCH("GPS定位模块",H307)),1,0)+IF(ISNUMBER(SEARCH("GSM通信模块",H307)),1,0)+IF(ISNUMBER(SEARCH("摄像头模块",H307)),1,0)+IF(ISNUMBER(SEARCH("人脸识别模块",H307)),1,0)+IF(ISNUMBER(SEARCH("手势识别传感器",H307)),1,0)))</f>
        <v>90</v>
      </c>
      <c r="M307" s="12">
        <f>计价规则!$B$4+计价规则!$B$5*IF(H307="",0,LEN(H307)-LEN(SUBSTITUTE(H307,"、",""))+1)</f>
        <v>90</v>
      </c>
      <c r="N307" s="12">
        <v>200</v>
      </c>
      <c r="O307" s="12">
        <f>计价规则!$B$6</f>
        <v>100</v>
      </c>
      <c r="P307" s="12">
        <f>计价规则!$B$6</f>
        <v>100</v>
      </c>
      <c r="Q307" s="12">
        <f>计价规则!$B$6</f>
        <v>100</v>
      </c>
      <c r="R307" s="12">
        <f>计价规则!$B$7</f>
        <v>400</v>
      </c>
      <c r="S307" s="8" t="s">
        <v>26</v>
      </c>
      <c r="T307" s="13">
        <v>306</v>
      </c>
    </row>
    <row r="308" ht="26" customHeight="1" spans="1:20">
      <c r="A308" s="8">
        <f t="shared" si="4"/>
        <v>307</v>
      </c>
      <c r="B308" s="8" t="s">
        <v>683</v>
      </c>
      <c r="C308" s="14" t="s">
        <v>878</v>
      </c>
      <c r="D308" s="10" t="s">
        <v>879</v>
      </c>
      <c r="E308" s="11" t="s">
        <v>283</v>
      </c>
      <c r="F308" s="11"/>
      <c r="G308" s="10" t="s">
        <v>81</v>
      </c>
      <c r="H308" s="10" t="s">
        <v>336</v>
      </c>
      <c r="I308" s="10"/>
      <c r="J308" s="10"/>
      <c r="K308" s="10"/>
      <c r="L308" s="12">
        <f>计价规则!$B$2+计价规则!$B$3*MAX(0,IF(H308="",0,LEN(H308)-LEN(SUBSTITUTE(H308,"、",""))+1)-(IF(ISNUMBER(SEARCH("WiFi通信模块",H308)),1,0)+IF(ISNUMBER(SEARCH("ESP8266 WiFi模块",H308)),1,0)+IF(ISNUMBER(SEARCH("NRF24L01无线通信模块",H308)),1,0)+IF(ISNUMBER(SEARCH("蓝牙模块",H308)),1,0)+IF(ISNUMBER(SEARCH("语音识别模块",H308)),1,0)+IF(ISNUMBER(SEARCH("语音播报模块",H308)),1,0)+IF(ISNUMBER(SEARCH("RFID模块",H308)),1,0)+IF(ISNUMBER(SEARCH("RFID读卡模块",H308)),1,0)+IF(ISNUMBER(SEARCH("GPS定位模块",H308)),1,0)+IF(ISNUMBER(SEARCH("GSM通信模块",H308)),1,0)+IF(ISNUMBER(SEARCH("摄像头模块",H308)),1,0)+IF(ISNUMBER(SEARCH("人脸识别模块",H308)),1,0)+IF(ISNUMBER(SEARCH("手势识别传感器",H308)),1,0)))</f>
        <v>75</v>
      </c>
      <c r="M308" s="12">
        <f>计价规则!$B$4+计价规则!$B$5*IF(H308="",0,LEN(H308)-LEN(SUBSTITUTE(H308,"、",""))+1)</f>
        <v>70</v>
      </c>
      <c r="N308" s="12">
        <v>200</v>
      </c>
      <c r="O308" s="12">
        <f>计价规则!$B$6</f>
        <v>100</v>
      </c>
      <c r="P308" s="12">
        <f>计价规则!$B$6</f>
        <v>100</v>
      </c>
      <c r="Q308" s="12">
        <f>计价规则!$B$6</f>
        <v>100</v>
      </c>
      <c r="R308" s="12">
        <f>计价规则!$B$7</f>
        <v>400</v>
      </c>
      <c r="S308" s="8" t="s">
        <v>26</v>
      </c>
      <c r="T308" s="13">
        <v>307</v>
      </c>
    </row>
    <row r="309" ht="26" customHeight="1" spans="1:20">
      <c r="A309" s="8">
        <f t="shared" si="4"/>
        <v>308</v>
      </c>
      <c r="B309" s="8" t="s">
        <v>683</v>
      </c>
      <c r="C309" s="14" t="s">
        <v>880</v>
      </c>
      <c r="D309" s="10" t="s">
        <v>881</v>
      </c>
      <c r="E309" s="11" t="s">
        <v>283</v>
      </c>
      <c r="F309" s="11"/>
      <c r="G309" s="10" t="s">
        <v>73</v>
      </c>
      <c r="H309" s="10" t="s">
        <v>882</v>
      </c>
      <c r="I309" s="10"/>
      <c r="J309" s="10"/>
      <c r="K309" s="10"/>
      <c r="L309" s="12">
        <f>计价规则!$B$2+计价规则!$B$3*MAX(0,IF(H309="",0,LEN(H309)-LEN(SUBSTITUTE(H309,"、",""))+1)-(IF(ISNUMBER(SEARCH("WiFi通信模块",H309)),1,0)+IF(ISNUMBER(SEARCH("ESP8266 WiFi模块",H309)),1,0)+IF(ISNUMBER(SEARCH("NRF24L01无线通信模块",H309)),1,0)+IF(ISNUMBER(SEARCH("蓝牙模块",H309)),1,0)+IF(ISNUMBER(SEARCH("语音识别模块",H309)),1,0)+IF(ISNUMBER(SEARCH("语音播报模块",H309)),1,0)+IF(ISNUMBER(SEARCH("RFID模块",H309)),1,0)+IF(ISNUMBER(SEARCH("RFID读卡模块",H309)),1,0)+IF(ISNUMBER(SEARCH("GPS定位模块",H309)),1,0)+IF(ISNUMBER(SEARCH("GSM通信模块",H309)),1,0)+IF(ISNUMBER(SEARCH("摄像头模块",H309)),1,0)+IF(ISNUMBER(SEARCH("人脸识别模块",H309)),1,0)+IF(ISNUMBER(SEARCH("手势识别传感器",H309)),1,0)))</f>
        <v>105</v>
      </c>
      <c r="M309" s="12">
        <f>计价规则!$B$4+计价规则!$B$5*IF(H309="",0,LEN(H309)-LEN(SUBSTITUTE(H309,"、",""))+1)</f>
        <v>110</v>
      </c>
      <c r="N309" s="12">
        <v>200</v>
      </c>
      <c r="O309" s="12">
        <f>计价规则!$B$6</f>
        <v>100</v>
      </c>
      <c r="P309" s="12">
        <f>计价规则!$B$6</f>
        <v>100</v>
      </c>
      <c r="Q309" s="12">
        <f>计价规则!$B$6</f>
        <v>100</v>
      </c>
      <c r="R309" s="12">
        <f>计价规则!$B$7</f>
        <v>400</v>
      </c>
      <c r="S309" s="8" t="s">
        <v>26</v>
      </c>
      <c r="T309" s="13">
        <v>308</v>
      </c>
    </row>
    <row r="310" ht="26" customHeight="1" spans="1:20">
      <c r="A310" s="8">
        <f t="shared" si="4"/>
        <v>309</v>
      </c>
      <c r="B310" s="8" t="s">
        <v>683</v>
      </c>
      <c r="C310" s="14" t="s">
        <v>883</v>
      </c>
      <c r="D310" s="10" t="s">
        <v>884</v>
      </c>
      <c r="E310" s="11" t="s">
        <v>283</v>
      </c>
      <c r="F310" s="11"/>
      <c r="G310" s="10" t="s">
        <v>69</v>
      </c>
      <c r="H310" s="10" t="s">
        <v>214</v>
      </c>
      <c r="I310" s="10"/>
      <c r="J310" s="10"/>
      <c r="K310" s="10"/>
      <c r="L310" s="12">
        <f>计价规则!$B$2+计价规则!$B$3*MAX(0,IF(H310="",0,LEN(H310)-LEN(SUBSTITUTE(H310,"、",""))+1)-(IF(ISNUMBER(SEARCH("WiFi通信模块",H310)),1,0)+IF(ISNUMBER(SEARCH("ESP8266 WiFi模块",H310)),1,0)+IF(ISNUMBER(SEARCH("NRF24L01无线通信模块",H310)),1,0)+IF(ISNUMBER(SEARCH("蓝牙模块",H310)),1,0)+IF(ISNUMBER(SEARCH("语音识别模块",H310)),1,0)+IF(ISNUMBER(SEARCH("语音播报模块",H310)),1,0)+IF(ISNUMBER(SEARCH("RFID模块",H310)),1,0)+IF(ISNUMBER(SEARCH("RFID读卡模块",H310)),1,0)+IF(ISNUMBER(SEARCH("GPS定位模块",H310)),1,0)+IF(ISNUMBER(SEARCH("GSM通信模块",H310)),1,0)+IF(ISNUMBER(SEARCH("摄像头模块",H310)),1,0)+IF(ISNUMBER(SEARCH("人脸识别模块",H310)),1,0)+IF(ISNUMBER(SEARCH("手势识别传感器",H310)),1,0)))</f>
        <v>90</v>
      </c>
      <c r="M310" s="12">
        <f>计价规则!$B$4+计价规则!$B$5*IF(H310="",0,LEN(H310)-LEN(SUBSTITUTE(H310,"、",""))+1)</f>
        <v>90</v>
      </c>
      <c r="N310" s="12">
        <v>200</v>
      </c>
      <c r="O310" s="12">
        <f>计价规则!$B$6</f>
        <v>100</v>
      </c>
      <c r="P310" s="12">
        <f>计价规则!$B$6</f>
        <v>100</v>
      </c>
      <c r="Q310" s="12">
        <f>计价规则!$B$6</f>
        <v>100</v>
      </c>
      <c r="R310" s="12">
        <f>计价规则!$B$7</f>
        <v>400</v>
      </c>
      <c r="S310" s="8" t="s">
        <v>26</v>
      </c>
      <c r="T310" s="13">
        <v>309</v>
      </c>
    </row>
    <row r="311" ht="26" customHeight="1" spans="1:20">
      <c r="A311" s="8">
        <f t="shared" si="4"/>
        <v>310</v>
      </c>
      <c r="B311" s="8" t="s">
        <v>683</v>
      </c>
      <c r="C311" s="14" t="s">
        <v>885</v>
      </c>
      <c r="D311" s="10" t="s">
        <v>886</v>
      </c>
      <c r="E311" s="11" t="s">
        <v>283</v>
      </c>
      <c r="F311" s="11"/>
      <c r="G311" s="10" t="s">
        <v>313</v>
      </c>
      <c r="H311" s="10" t="s">
        <v>887</v>
      </c>
      <c r="I311" s="10"/>
      <c r="J311" s="10"/>
      <c r="K311" s="10"/>
      <c r="L311" s="12">
        <f>计价规则!$B$2+计价规则!$B$3*MAX(0,IF(H311="",0,LEN(H311)-LEN(SUBSTITUTE(H311,"、",""))+1)-(IF(ISNUMBER(SEARCH("WiFi通信模块",H311)),1,0)+IF(ISNUMBER(SEARCH("ESP8266 WiFi模块",H311)),1,0)+IF(ISNUMBER(SEARCH("NRF24L01无线通信模块",H311)),1,0)+IF(ISNUMBER(SEARCH("蓝牙模块",H311)),1,0)+IF(ISNUMBER(SEARCH("语音识别模块",H311)),1,0)+IF(ISNUMBER(SEARCH("语音播报模块",H311)),1,0)+IF(ISNUMBER(SEARCH("RFID模块",H311)),1,0)+IF(ISNUMBER(SEARCH("RFID读卡模块",H311)),1,0)+IF(ISNUMBER(SEARCH("GPS定位模块",H311)),1,0)+IF(ISNUMBER(SEARCH("GSM通信模块",H311)),1,0)+IF(ISNUMBER(SEARCH("摄像头模块",H311)),1,0)+IF(ISNUMBER(SEARCH("人脸识别模块",H311)),1,0)+IF(ISNUMBER(SEARCH("手势识别传感器",H311)),1,0)))</f>
        <v>105</v>
      </c>
      <c r="M311" s="12">
        <f>计价规则!$B$4+计价规则!$B$5*IF(H311="",0,LEN(H311)-LEN(SUBSTITUTE(H311,"、",""))+1)</f>
        <v>110</v>
      </c>
      <c r="N311" s="12">
        <v>200</v>
      </c>
      <c r="O311" s="12">
        <f>计价规则!$B$6</f>
        <v>100</v>
      </c>
      <c r="P311" s="12">
        <f>计价规则!$B$6</f>
        <v>100</v>
      </c>
      <c r="Q311" s="12">
        <f>计价规则!$B$6</f>
        <v>100</v>
      </c>
      <c r="R311" s="12">
        <f>计价规则!$B$7</f>
        <v>400</v>
      </c>
      <c r="S311" s="8" t="s">
        <v>26</v>
      </c>
      <c r="T311" s="13">
        <v>310</v>
      </c>
    </row>
    <row r="312" ht="26" customHeight="1" spans="1:20">
      <c r="A312" s="8">
        <f t="shared" si="4"/>
        <v>311</v>
      </c>
      <c r="B312" s="8" t="s">
        <v>683</v>
      </c>
      <c r="C312" s="14" t="s">
        <v>888</v>
      </c>
      <c r="D312" s="10" t="s">
        <v>889</v>
      </c>
      <c r="E312" s="11" t="s">
        <v>283</v>
      </c>
      <c r="F312" s="11"/>
      <c r="G312" s="10" t="s">
        <v>24</v>
      </c>
      <c r="H312" s="10" t="s">
        <v>396</v>
      </c>
      <c r="I312" s="10"/>
      <c r="J312" s="10"/>
      <c r="K312" s="10"/>
      <c r="L312" s="12">
        <f>计价规则!$B$2+计价规则!$B$3*MAX(0,IF(H312="",0,LEN(H312)-LEN(SUBSTITUTE(H312,"、",""))+1)-(IF(ISNUMBER(SEARCH("WiFi通信模块",H312)),1,0)+IF(ISNUMBER(SEARCH("ESP8266 WiFi模块",H312)),1,0)+IF(ISNUMBER(SEARCH("NRF24L01无线通信模块",H312)),1,0)+IF(ISNUMBER(SEARCH("蓝牙模块",H312)),1,0)+IF(ISNUMBER(SEARCH("语音识别模块",H312)),1,0)+IF(ISNUMBER(SEARCH("语音播报模块",H312)),1,0)+IF(ISNUMBER(SEARCH("RFID模块",H312)),1,0)+IF(ISNUMBER(SEARCH("RFID读卡模块",H312)),1,0)+IF(ISNUMBER(SEARCH("GPS定位模块",H312)),1,0)+IF(ISNUMBER(SEARCH("GSM通信模块",H312)),1,0)+IF(ISNUMBER(SEARCH("摄像头模块",H312)),1,0)+IF(ISNUMBER(SEARCH("人脸识别模块",H312)),1,0)+IF(ISNUMBER(SEARCH("手势识别传感器",H312)),1,0)))</f>
        <v>90</v>
      </c>
      <c r="M312" s="12">
        <f>计价规则!$B$4+计价规则!$B$5*IF(H312="",0,LEN(H312)-LEN(SUBSTITUTE(H312,"、",""))+1)</f>
        <v>90</v>
      </c>
      <c r="N312" s="12">
        <v>200</v>
      </c>
      <c r="O312" s="12">
        <f>计价规则!$B$6</f>
        <v>100</v>
      </c>
      <c r="P312" s="12">
        <f>计价规则!$B$6</f>
        <v>100</v>
      </c>
      <c r="Q312" s="12">
        <f>计价规则!$B$6</f>
        <v>100</v>
      </c>
      <c r="R312" s="12">
        <f>计价规则!$B$7</f>
        <v>400</v>
      </c>
      <c r="S312" s="8" t="s">
        <v>26</v>
      </c>
      <c r="T312" s="13">
        <v>311</v>
      </c>
    </row>
    <row r="313" ht="26" customHeight="1" spans="1:20">
      <c r="A313" s="8">
        <f t="shared" si="4"/>
        <v>312</v>
      </c>
      <c r="B313" s="8" t="s">
        <v>683</v>
      </c>
      <c r="C313" s="14" t="s">
        <v>890</v>
      </c>
      <c r="D313" s="10" t="s">
        <v>891</v>
      </c>
      <c r="E313" s="11" t="s">
        <v>283</v>
      </c>
      <c r="F313" s="11"/>
      <c r="G313" s="10" t="s">
        <v>81</v>
      </c>
      <c r="H313" s="10" t="s">
        <v>173</v>
      </c>
      <c r="I313" s="10"/>
      <c r="J313" s="10"/>
      <c r="K313" s="10"/>
      <c r="L313" s="12">
        <f>计价规则!$B$2+计价规则!$B$3*MAX(0,IF(H313="",0,LEN(H313)-LEN(SUBSTITUTE(H313,"、",""))+1)-(IF(ISNUMBER(SEARCH("WiFi通信模块",H313)),1,0)+IF(ISNUMBER(SEARCH("ESP8266 WiFi模块",H313)),1,0)+IF(ISNUMBER(SEARCH("NRF24L01无线通信模块",H313)),1,0)+IF(ISNUMBER(SEARCH("蓝牙模块",H313)),1,0)+IF(ISNUMBER(SEARCH("语音识别模块",H313)),1,0)+IF(ISNUMBER(SEARCH("语音播报模块",H313)),1,0)+IF(ISNUMBER(SEARCH("RFID模块",H313)),1,0)+IF(ISNUMBER(SEARCH("RFID读卡模块",H313)),1,0)+IF(ISNUMBER(SEARCH("GPS定位模块",H313)),1,0)+IF(ISNUMBER(SEARCH("GSM通信模块",H313)),1,0)+IF(ISNUMBER(SEARCH("摄像头模块",H313)),1,0)+IF(ISNUMBER(SEARCH("人脸识别模块",H313)),1,0)+IF(ISNUMBER(SEARCH("手势识别传感器",H313)),1,0)))</f>
        <v>105</v>
      </c>
      <c r="M313" s="12">
        <f>计价规则!$B$4+计价规则!$B$5*IF(H313="",0,LEN(H313)-LEN(SUBSTITUTE(H313,"、",""))+1)</f>
        <v>110</v>
      </c>
      <c r="N313" s="12">
        <v>200</v>
      </c>
      <c r="O313" s="12">
        <f>计价规则!$B$6</f>
        <v>100</v>
      </c>
      <c r="P313" s="12">
        <f>计价规则!$B$6</f>
        <v>100</v>
      </c>
      <c r="Q313" s="12">
        <f>计价规则!$B$6</f>
        <v>100</v>
      </c>
      <c r="R313" s="12">
        <f>计价规则!$B$7</f>
        <v>400</v>
      </c>
      <c r="S313" s="8" t="s">
        <v>26</v>
      </c>
      <c r="T313" s="13">
        <v>312</v>
      </c>
    </row>
    <row r="314" ht="26" customHeight="1" spans="1:20">
      <c r="A314" s="8">
        <f t="shared" si="4"/>
        <v>313</v>
      </c>
      <c r="B314" s="8" t="s">
        <v>683</v>
      </c>
      <c r="C314" s="14" t="s">
        <v>892</v>
      </c>
      <c r="D314" s="10" t="s">
        <v>893</v>
      </c>
      <c r="E314" s="11" t="s">
        <v>283</v>
      </c>
      <c r="F314" s="11"/>
      <c r="G314" s="10" t="s">
        <v>313</v>
      </c>
      <c r="H314" s="10" t="s">
        <v>894</v>
      </c>
      <c r="I314" s="10"/>
      <c r="J314" s="10"/>
      <c r="K314" s="10"/>
      <c r="L314" s="12">
        <f>计价规则!$B$2+计价规则!$B$3*MAX(0,IF(H314="",0,LEN(H314)-LEN(SUBSTITUTE(H314,"、",""))+1)-(IF(ISNUMBER(SEARCH("WiFi通信模块",H314)),1,0)+IF(ISNUMBER(SEARCH("ESP8266 WiFi模块",H314)),1,0)+IF(ISNUMBER(SEARCH("NRF24L01无线通信模块",H314)),1,0)+IF(ISNUMBER(SEARCH("蓝牙模块",H314)),1,0)+IF(ISNUMBER(SEARCH("语音识别模块",H314)),1,0)+IF(ISNUMBER(SEARCH("语音播报模块",H314)),1,0)+IF(ISNUMBER(SEARCH("RFID模块",H314)),1,0)+IF(ISNUMBER(SEARCH("RFID读卡模块",H314)),1,0)+IF(ISNUMBER(SEARCH("GPS定位模块",H314)),1,0)+IF(ISNUMBER(SEARCH("GSM通信模块",H314)),1,0)+IF(ISNUMBER(SEARCH("摄像头模块",H314)),1,0)+IF(ISNUMBER(SEARCH("人脸识别模块",H314)),1,0)+IF(ISNUMBER(SEARCH("手势识别传感器",H314)),1,0)))</f>
        <v>90</v>
      </c>
      <c r="M314" s="12">
        <f>计价规则!$B$4+计价规则!$B$5*IF(H314="",0,LEN(H314)-LEN(SUBSTITUTE(H314,"、",""))+1)</f>
        <v>90</v>
      </c>
      <c r="N314" s="12">
        <v>200</v>
      </c>
      <c r="O314" s="12">
        <f>计价规则!$B$6</f>
        <v>100</v>
      </c>
      <c r="P314" s="12">
        <f>计价规则!$B$6</f>
        <v>100</v>
      </c>
      <c r="Q314" s="12">
        <f>计价规则!$B$6</f>
        <v>100</v>
      </c>
      <c r="R314" s="12">
        <f>计价规则!$B$7</f>
        <v>400</v>
      </c>
      <c r="S314" s="8" t="s">
        <v>26</v>
      </c>
      <c r="T314" s="13">
        <v>313</v>
      </c>
    </row>
    <row r="315" ht="26" customHeight="1" spans="1:20">
      <c r="A315" s="8">
        <f t="shared" si="4"/>
        <v>314</v>
      </c>
      <c r="B315" s="8" t="s">
        <v>683</v>
      </c>
      <c r="C315" s="14" t="s">
        <v>895</v>
      </c>
      <c r="D315" s="10" t="s">
        <v>896</v>
      </c>
      <c r="E315" s="11" t="s">
        <v>283</v>
      </c>
      <c r="F315" s="11"/>
      <c r="G315" s="10" t="s">
        <v>24</v>
      </c>
      <c r="H315" s="10" t="s">
        <v>897</v>
      </c>
      <c r="I315" s="10"/>
      <c r="J315" s="10"/>
      <c r="K315" s="10"/>
      <c r="L315" s="12">
        <f>计价规则!$B$2+计价规则!$B$3*MAX(0,IF(H315="",0,LEN(H315)-LEN(SUBSTITUTE(H315,"、",""))+1)-(IF(ISNUMBER(SEARCH("WiFi通信模块",H315)),1,0)+IF(ISNUMBER(SEARCH("ESP8266 WiFi模块",H315)),1,0)+IF(ISNUMBER(SEARCH("NRF24L01无线通信模块",H315)),1,0)+IF(ISNUMBER(SEARCH("蓝牙模块",H315)),1,0)+IF(ISNUMBER(SEARCH("语音识别模块",H315)),1,0)+IF(ISNUMBER(SEARCH("语音播报模块",H315)),1,0)+IF(ISNUMBER(SEARCH("RFID模块",H315)),1,0)+IF(ISNUMBER(SEARCH("RFID读卡模块",H315)),1,0)+IF(ISNUMBER(SEARCH("GPS定位模块",H315)),1,0)+IF(ISNUMBER(SEARCH("GSM通信模块",H315)),1,0)+IF(ISNUMBER(SEARCH("摄像头模块",H315)),1,0)+IF(ISNUMBER(SEARCH("人脸识别模块",H315)),1,0)+IF(ISNUMBER(SEARCH("手势识别传感器",H315)),1,0)))</f>
        <v>90</v>
      </c>
      <c r="M315" s="12">
        <f>计价规则!$B$4+计价规则!$B$5*IF(H315="",0,LEN(H315)-LEN(SUBSTITUTE(H315,"、",""))+1)</f>
        <v>90</v>
      </c>
      <c r="N315" s="12">
        <v>200</v>
      </c>
      <c r="O315" s="12">
        <f>计价规则!$B$6</f>
        <v>100</v>
      </c>
      <c r="P315" s="12">
        <f>计价规则!$B$6</f>
        <v>100</v>
      </c>
      <c r="Q315" s="12">
        <f>计价规则!$B$6</f>
        <v>100</v>
      </c>
      <c r="R315" s="12">
        <f>计价规则!$B$7</f>
        <v>400</v>
      </c>
      <c r="S315" s="8" t="s">
        <v>26</v>
      </c>
      <c r="T315" s="13">
        <v>314</v>
      </c>
    </row>
    <row r="316" ht="26" customHeight="1" spans="1:20">
      <c r="A316" s="8">
        <f t="shared" si="4"/>
        <v>315</v>
      </c>
      <c r="B316" s="8" t="s">
        <v>683</v>
      </c>
      <c r="C316" s="14" t="s">
        <v>898</v>
      </c>
      <c r="D316" s="10" t="s">
        <v>899</v>
      </c>
      <c r="E316" s="11" t="s">
        <v>283</v>
      </c>
      <c r="F316" s="11"/>
      <c r="G316" s="10" t="s">
        <v>146</v>
      </c>
      <c r="H316" s="10" t="s">
        <v>900</v>
      </c>
      <c r="I316" s="10"/>
      <c r="J316" s="10"/>
      <c r="K316" s="10"/>
      <c r="L316" s="12">
        <f>计价规则!$B$2+计价规则!$B$3*MAX(0,IF(H316="",0,LEN(H316)-LEN(SUBSTITUTE(H316,"、",""))+1)-(IF(ISNUMBER(SEARCH("WiFi通信模块",H316)),1,0)+IF(ISNUMBER(SEARCH("ESP8266 WiFi模块",H316)),1,0)+IF(ISNUMBER(SEARCH("NRF24L01无线通信模块",H316)),1,0)+IF(ISNUMBER(SEARCH("蓝牙模块",H316)),1,0)+IF(ISNUMBER(SEARCH("语音识别模块",H316)),1,0)+IF(ISNUMBER(SEARCH("语音播报模块",H316)),1,0)+IF(ISNUMBER(SEARCH("RFID模块",H316)),1,0)+IF(ISNUMBER(SEARCH("RFID读卡模块",H316)),1,0)+IF(ISNUMBER(SEARCH("GPS定位模块",H316)),1,0)+IF(ISNUMBER(SEARCH("GSM通信模块",H316)),1,0)+IF(ISNUMBER(SEARCH("摄像头模块",H316)),1,0)+IF(ISNUMBER(SEARCH("人脸识别模块",H316)),1,0)+IF(ISNUMBER(SEARCH("手势识别传感器",H316)),1,0)))</f>
        <v>90</v>
      </c>
      <c r="M316" s="12">
        <f>计价规则!$B$4+计价规则!$B$5*IF(H316="",0,LEN(H316)-LEN(SUBSTITUTE(H316,"、",""))+1)</f>
        <v>90</v>
      </c>
      <c r="N316" s="12">
        <v>200</v>
      </c>
      <c r="O316" s="12">
        <f>计价规则!$B$6</f>
        <v>100</v>
      </c>
      <c r="P316" s="12">
        <f>计价规则!$B$6</f>
        <v>100</v>
      </c>
      <c r="Q316" s="12">
        <f>计价规则!$B$6</f>
        <v>100</v>
      </c>
      <c r="R316" s="12">
        <f>计价规则!$B$7</f>
        <v>400</v>
      </c>
      <c r="S316" s="8" t="s">
        <v>26</v>
      </c>
      <c r="T316" s="13">
        <v>315</v>
      </c>
    </row>
    <row r="317" ht="26" customHeight="1" spans="1:20">
      <c r="A317" s="8">
        <f t="shared" si="4"/>
        <v>316</v>
      </c>
      <c r="B317" s="8" t="s">
        <v>683</v>
      </c>
      <c r="C317" s="14" t="s">
        <v>901</v>
      </c>
      <c r="D317" s="10" t="s">
        <v>902</v>
      </c>
      <c r="E317" s="11" t="s">
        <v>283</v>
      </c>
      <c r="F317" s="11"/>
      <c r="G317" s="10" t="s">
        <v>58</v>
      </c>
      <c r="H317" s="10" t="s">
        <v>903</v>
      </c>
      <c r="I317" s="10"/>
      <c r="J317" s="10"/>
      <c r="K317" s="10"/>
      <c r="L317" s="12">
        <f>计价规则!$B$2+计价规则!$B$3*MAX(0,IF(H317="",0,LEN(H317)-LEN(SUBSTITUTE(H317,"、",""))+1)-(IF(ISNUMBER(SEARCH("WiFi通信模块",H317)),1,0)+IF(ISNUMBER(SEARCH("ESP8266 WiFi模块",H317)),1,0)+IF(ISNUMBER(SEARCH("NRF24L01无线通信模块",H317)),1,0)+IF(ISNUMBER(SEARCH("蓝牙模块",H317)),1,0)+IF(ISNUMBER(SEARCH("语音识别模块",H317)),1,0)+IF(ISNUMBER(SEARCH("语音播报模块",H317)),1,0)+IF(ISNUMBER(SEARCH("RFID模块",H317)),1,0)+IF(ISNUMBER(SEARCH("RFID读卡模块",H317)),1,0)+IF(ISNUMBER(SEARCH("GPS定位模块",H317)),1,0)+IF(ISNUMBER(SEARCH("GSM通信模块",H317)),1,0)+IF(ISNUMBER(SEARCH("摄像头模块",H317)),1,0)+IF(ISNUMBER(SEARCH("人脸识别模块",H317)),1,0)+IF(ISNUMBER(SEARCH("手势识别传感器",H317)),1,0)))</f>
        <v>75</v>
      </c>
      <c r="M317" s="12">
        <f>计价规则!$B$4+计价规则!$B$5*IF(H317="",0,LEN(H317)-LEN(SUBSTITUTE(H317,"、",""))+1)</f>
        <v>70</v>
      </c>
      <c r="N317" s="12">
        <v>200</v>
      </c>
      <c r="O317" s="12">
        <f>计价规则!$B$6</f>
        <v>100</v>
      </c>
      <c r="P317" s="12">
        <f>计价规则!$B$6</f>
        <v>100</v>
      </c>
      <c r="Q317" s="12">
        <f>计价规则!$B$6</f>
        <v>100</v>
      </c>
      <c r="R317" s="12">
        <f>计价规则!$B$7</f>
        <v>400</v>
      </c>
      <c r="S317" s="8" t="s">
        <v>26</v>
      </c>
      <c r="T317" s="13">
        <v>316</v>
      </c>
    </row>
    <row r="318" ht="26" customHeight="1" spans="1:20">
      <c r="A318" s="8">
        <f t="shared" si="4"/>
        <v>317</v>
      </c>
      <c r="B318" s="8" t="s">
        <v>683</v>
      </c>
      <c r="C318" s="14" t="s">
        <v>904</v>
      </c>
      <c r="D318" s="10" t="s">
        <v>905</v>
      </c>
      <c r="E318" s="11" t="s">
        <v>283</v>
      </c>
      <c r="F318" s="11"/>
      <c r="G318" s="10" t="s">
        <v>345</v>
      </c>
      <c r="H318" s="10" t="s">
        <v>906</v>
      </c>
      <c r="I318" s="10"/>
      <c r="J318" s="10"/>
      <c r="K318" s="10"/>
      <c r="L318" s="12">
        <f>计价规则!$B$2+计价规则!$B$3*MAX(0,IF(H318="",0,LEN(H318)-LEN(SUBSTITUTE(H318,"、",""))+1)-(IF(ISNUMBER(SEARCH("WiFi通信模块",H318)),1,0)+IF(ISNUMBER(SEARCH("ESP8266 WiFi模块",H318)),1,0)+IF(ISNUMBER(SEARCH("NRF24L01无线通信模块",H318)),1,0)+IF(ISNUMBER(SEARCH("蓝牙模块",H318)),1,0)+IF(ISNUMBER(SEARCH("语音识别模块",H318)),1,0)+IF(ISNUMBER(SEARCH("语音播报模块",H318)),1,0)+IF(ISNUMBER(SEARCH("RFID模块",H318)),1,0)+IF(ISNUMBER(SEARCH("RFID读卡模块",H318)),1,0)+IF(ISNUMBER(SEARCH("GPS定位模块",H318)),1,0)+IF(ISNUMBER(SEARCH("GSM通信模块",H318)),1,0)+IF(ISNUMBER(SEARCH("摄像头模块",H318)),1,0)+IF(ISNUMBER(SEARCH("人脸识别模块",H318)),1,0)+IF(ISNUMBER(SEARCH("手势识别传感器",H318)),1,0)))</f>
        <v>75</v>
      </c>
      <c r="M318" s="12">
        <f>计价规则!$B$4+计价规则!$B$5*IF(H318="",0,LEN(H318)-LEN(SUBSTITUTE(H318,"、",""))+1)</f>
        <v>70</v>
      </c>
      <c r="N318" s="12">
        <v>200</v>
      </c>
      <c r="O318" s="12">
        <f>计价规则!$B$6</f>
        <v>100</v>
      </c>
      <c r="P318" s="12">
        <f>计价规则!$B$6</f>
        <v>100</v>
      </c>
      <c r="Q318" s="12">
        <f>计价规则!$B$6</f>
        <v>100</v>
      </c>
      <c r="R318" s="12">
        <f>计价规则!$B$7</f>
        <v>400</v>
      </c>
      <c r="S318" s="8" t="s">
        <v>26</v>
      </c>
      <c r="T318" s="13">
        <v>317</v>
      </c>
    </row>
    <row r="319" ht="26" customHeight="1" spans="1:20">
      <c r="A319" s="8">
        <f t="shared" si="4"/>
        <v>318</v>
      </c>
      <c r="B319" s="8" t="s">
        <v>683</v>
      </c>
      <c r="C319" s="14" t="s">
        <v>907</v>
      </c>
      <c r="D319" s="10" t="s">
        <v>908</v>
      </c>
      <c r="E319" s="11" t="s">
        <v>283</v>
      </c>
      <c r="F319" s="11"/>
      <c r="G319" s="10" t="s">
        <v>24</v>
      </c>
      <c r="H319" s="10" t="s">
        <v>909</v>
      </c>
      <c r="I319" s="10"/>
      <c r="J319" s="10"/>
      <c r="K319" s="10"/>
      <c r="L319" s="12">
        <f>计价规则!$B$2+计价规则!$B$3*MAX(0,IF(H319="",0,LEN(H319)-LEN(SUBSTITUTE(H319,"、",""))+1)-(IF(ISNUMBER(SEARCH("WiFi通信模块",H319)),1,0)+IF(ISNUMBER(SEARCH("ESP8266 WiFi模块",H319)),1,0)+IF(ISNUMBER(SEARCH("NRF24L01无线通信模块",H319)),1,0)+IF(ISNUMBER(SEARCH("蓝牙模块",H319)),1,0)+IF(ISNUMBER(SEARCH("语音识别模块",H319)),1,0)+IF(ISNUMBER(SEARCH("语音播报模块",H319)),1,0)+IF(ISNUMBER(SEARCH("RFID模块",H319)),1,0)+IF(ISNUMBER(SEARCH("RFID读卡模块",H319)),1,0)+IF(ISNUMBER(SEARCH("GPS定位模块",H319)),1,0)+IF(ISNUMBER(SEARCH("GSM通信模块",H319)),1,0)+IF(ISNUMBER(SEARCH("摄像头模块",H319)),1,0)+IF(ISNUMBER(SEARCH("人脸识别模块",H319)),1,0)+IF(ISNUMBER(SEARCH("手势识别传感器",H319)),1,0)))</f>
        <v>90</v>
      </c>
      <c r="M319" s="12">
        <f>计价规则!$B$4+计价规则!$B$5*IF(H319="",0,LEN(H319)-LEN(SUBSTITUTE(H319,"、",""))+1)</f>
        <v>90</v>
      </c>
      <c r="N319" s="12">
        <v>200</v>
      </c>
      <c r="O319" s="12">
        <f>计价规则!$B$6</f>
        <v>100</v>
      </c>
      <c r="P319" s="12">
        <f>计价规则!$B$6</f>
        <v>100</v>
      </c>
      <c r="Q319" s="12">
        <f>计价规则!$B$6</f>
        <v>100</v>
      </c>
      <c r="R319" s="12">
        <f>计价规则!$B$7</f>
        <v>400</v>
      </c>
      <c r="S319" s="8" t="s">
        <v>26</v>
      </c>
      <c r="T319" s="13">
        <v>318</v>
      </c>
    </row>
    <row r="320" ht="26" customHeight="1" spans="1:20">
      <c r="A320" s="8">
        <f t="shared" si="4"/>
        <v>319</v>
      </c>
      <c r="B320" s="8" t="s">
        <v>683</v>
      </c>
      <c r="C320" s="14" t="s">
        <v>910</v>
      </c>
      <c r="D320" s="10" t="s">
        <v>911</v>
      </c>
      <c r="E320" s="11" t="s">
        <v>283</v>
      </c>
      <c r="F320" s="11"/>
      <c r="G320" s="10" t="s">
        <v>40</v>
      </c>
      <c r="H320" s="10" t="s">
        <v>354</v>
      </c>
      <c r="I320" s="10"/>
      <c r="J320" s="10"/>
      <c r="K320" s="10"/>
      <c r="L320" s="12">
        <f>计价规则!$B$2+计价规则!$B$3*MAX(0,IF(H320="",0,LEN(H320)-LEN(SUBSTITUTE(H320,"、",""))+1)-(IF(ISNUMBER(SEARCH("WiFi通信模块",H320)),1,0)+IF(ISNUMBER(SEARCH("ESP8266 WiFi模块",H320)),1,0)+IF(ISNUMBER(SEARCH("NRF24L01无线通信模块",H320)),1,0)+IF(ISNUMBER(SEARCH("蓝牙模块",H320)),1,0)+IF(ISNUMBER(SEARCH("语音识别模块",H320)),1,0)+IF(ISNUMBER(SEARCH("语音播报模块",H320)),1,0)+IF(ISNUMBER(SEARCH("RFID模块",H320)),1,0)+IF(ISNUMBER(SEARCH("RFID读卡模块",H320)),1,0)+IF(ISNUMBER(SEARCH("GPS定位模块",H320)),1,0)+IF(ISNUMBER(SEARCH("GSM通信模块",H320)),1,0)+IF(ISNUMBER(SEARCH("摄像头模块",H320)),1,0)+IF(ISNUMBER(SEARCH("人脸识别模块",H320)),1,0)+IF(ISNUMBER(SEARCH("手势识别传感器",H320)),1,0)))</f>
        <v>90</v>
      </c>
      <c r="M320" s="12">
        <f>计价规则!$B$4+计价规则!$B$5*IF(H320="",0,LEN(H320)-LEN(SUBSTITUTE(H320,"、",""))+1)</f>
        <v>90</v>
      </c>
      <c r="N320" s="12">
        <v>200</v>
      </c>
      <c r="O320" s="12">
        <f>计价规则!$B$6</f>
        <v>100</v>
      </c>
      <c r="P320" s="12">
        <f>计价规则!$B$6</f>
        <v>100</v>
      </c>
      <c r="Q320" s="12">
        <f>计价规则!$B$6</f>
        <v>100</v>
      </c>
      <c r="R320" s="12">
        <f>计价规则!$B$7</f>
        <v>400</v>
      </c>
      <c r="S320" s="8" t="s">
        <v>26</v>
      </c>
      <c r="T320" s="13">
        <v>319</v>
      </c>
    </row>
    <row r="321" ht="26" customHeight="1" spans="1:20">
      <c r="A321" s="8">
        <f t="shared" si="4"/>
        <v>320</v>
      </c>
      <c r="B321" s="8" t="s">
        <v>683</v>
      </c>
      <c r="C321" s="14" t="s">
        <v>912</v>
      </c>
      <c r="D321" s="10" t="s">
        <v>913</v>
      </c>
      <c r="E321" s="11" t="s">
        <v>283</v>
      </c>
      <c r="F321" s="11"/>
      <c r="G321" s="10" t="s">
        <v>24</v>
      </c>
      <c r="H321" s="10" t="s">
        <v>914</v>
      </c>
      <c r="I321" s="10"/>
      <c r="J321" s="10"/>
      <c r="K321" s="10"/>
      <c r="L321" s="12">
        <f>计价规则!$B$2+计价规则!$B$3*MAX(0,IF(H321="",0,LEN(H321)-LEN(SUBSTITUTE(H321,"、",""))+1)-(IF(ISNUMBER(SEARCH("WiFi通信模块",H321)),1,0)+IF(ISNUMBER(SEARCH("ESP8266 WiFi模块",H321)),1,0)+IF(ISNUMBER(SEARCH("NRF24L01无线通信模块",H321)),1,0)+IF(ISNUMBER(SEARCH("蓝牙模块",H321)),1,0)+IF(ISNUMBER(SEARCH("语音识别模块",H321)),1,0)+IF(ISNUMBER(SEARCH("语音播报模块",H321)),1,0)+IF(ISNUMBER(SEARCH("RFID模块",H321)),1,0)+IF(ISNUMBER(SEARCH("RFID读卡模块",H321)),1,0)+IF(ISNUMBER(SEARCH("GPS定位模块",H321)),1,0)+IF(ISNUMBER(SEARCH("GSM通信模块",H321)),1,0)+IF(ISNUMBER(SEARCH("摄像头模块",H321)),1,0)+IF(ISNUMBER(SEARCH("人脸识别模块",H321)),1,0)+IF(ISNUMBER(SEARCH("手势识别传感器",H321)),1,0)))</f>
        <v>90</v>
      </c>
      <c r="M321" s="12">
        <f>计价规则!$B$4+计价规则!$B$5*IF(H321="",0,LEN(H321)-LEN(SUBSTITUTE(H321,"、",""))+1)</f>
        <v>90</v>
      </c>
      <c r="N321" s="12">
        <v>200</v>
      </c>
      <c r="O321" s="12">
        <f>计价规则!$B$6</f>
        <v>100</v>
      </c>
      <c r="P321" s="12">
        <f>计价规则!$B$6</f>
        <v>100</v>
      </c>
      <c r="Q321" s="12">
        <f>计价规则!$B$6</f>
        <v>100</v>
      </c>
      <c r="R321" s="12">
        <f>计价规则!$B$7</f>
        <v>400</v>
      </c>
      <c r="S321" s="8" t="s">
        <v>26</v>
      </c>
      <c r="T321" s="13">
        <v>320</v>
      </c>
    </row>
    <row r="322" ht="26" customHeight="1" spans="1:20">
      <c r="A322" s="8">
        <f t="shared" ref="A322:A361" si="5">IF(B322&lt;&gt;"",ROW()-1,"")</f>
        <v>321</v>
      </c>
      <c r="B322" s="8" t="s">
        <v>683</v>
      </c>
      <c r="C322" s="14" t="s">
        <v>915</v>
      </c>
      <c r="D322" s="10" t="s">
        <v>916</v>
      </c>
      <c r="E322" s="11" t="s">
        <v>283</v>
      </c>
      <c r="F322" s="11"/>
      <c r="G322" s="10" t="s">
        <v>185</v>
      </c>
      <c r="H322" s="10" t="s">
        <v>593</v>
      </c>
      <c r="I322" s="10"/>
      <c r="J322" s="10"/>
      <c r="K322" s="10"/>
      <c r="L322" s="12">
        <f>计价规则!$B$2+计价规则!$B$3*MAX(0,IF(H322="",0,LEN(H322)-LEN(SUBSTITUTE(H322,"、",""))+1)-(IF(ISNUMBER(SEARCH("WiFi通信模块",H322)),1,0)+IF(ISNUMBER(SEARCH("ESP8266 WiFi模块",H322)),1,0)+IF(ISNUMBER(SEARCH("NRF24L01无线通信模块",H322)),1,0)+IF(ISNUMBER(SEARCH("蓝牙模块",H322)),1,0)+IF(ISNUMBER(SEARCH("语音识别模块",H322)),1,0)+IF(ISNUMBER(SEARCH("语音播报模块",H322)),1,0)+IF(ISNUMBER(SEARCH("RFID模块",H322)),1,0)+IF(ISNUMBER(SEARCH("RFID读卡模块",H322)),1,0)+IF(ISNUMBER(SEARCH("GPS定位模块",H322)),1,0)+IF(ISNUMBER(SEARCH("GSM通信模块",H322)),1,0)+IF(ISNUMBER(SEARCH("摄像头模块",H322)),1,0)+IF(ISNUMBER(SEARCH("人脸识别模块",H322)),1,0)+IF(ISNUMBER(SEARCH("手势识别传感器",H322)),1,0)))</f>
        <v>90</v>
      </c>
      <c r="M322" s="12">
        <f>计价规则!$B$4+计价规则!$B$5*IF(H322="",0,LEN(H322)-LEN(SUBSTITUTE(H322,"、",""))+1)</f>
        <v>90</v>
      </c>
      <c r="N322" s="12">
        <v>200</v>
      </c>
      <c r="O322" s="12">
        <f>计价规则!$B$6</f>
        <v>100</v>
      </c>
      <c r="P322" s="12">
        <f>计价规则!$B$6</f>
        <v>100</v>
      </c>
      <c r="Q322" s="12">
        <f>计价规则!$B$6</f>
        <v>100</v>
      </c>
      <c r="R322" s="12">
        <f>计价规则!$B$7</f>
        <v>400</v>
      </c>
      <c r="S322" s="8" t="s">
        <v>26</v>
      </c>
      <c r="T322" s="13">
        <v>321</v>
      </c>
    </row>
    <row r="323" ht="26" customHeight="1" spans="1:20">
      <c r="A323" s="8">
        <f t="shared" si="5"/>
        <v>322</v>
      </c>
      <c r="B323" s="8" t="s">
        <v>683</v>
      </c>
      <c r="C323" s="14" t="s">
        <v>917</v>
      </c>
      <c r="D323" s="10" t="s">
        <v>918</v>
      </c>
      <c r="E323" s="11" t="s">
        <v>283</v>
      </c>
      <c r="F323" s="11"/>
      <c r="G323" s="10" t="s">
        <v>73</v>
      </c>
      <c r="H323" s="10" t="s">
        <v>527</v>
      </c>
      <c r="I323" s="10"/>
      <c r="J323" s="10"/>
      <c r="K323" s="10"/>
      <c r="L323" s="12">
        <f>计价规则!$B$2+计价规则!$B$3*MAX(0,IF(H323="",0,LEN(H323)-LEN(SUBSTITUTE(H323,"、",""))+1)-(IF(ISNUMBER(SEARCH("WiFi通信模块",H323)),1,0)+IF(ISNUMBER(SEARCH("ESP8266 WiFi模块",H323)),1,0)+IF(ISNUMBER(SEARCH("NRF24L01无线通信模块",H323)),1,0)+IF(ISNUMBER(SEARCH("蓝牙模块",H323)),1,0)+IF(ISNUMBER(SEARCH("语音识别模块",H323)),1,0)+IF(ISNUMBER(SEARCH("语音播报模块",H323)),1,0)+IF(ISNUMBER(SEARCH("RFID模块",H323)),1,0)+IF(ISNUMBER(SEARCH("RFID读卡模块",H323)),1,0)+IF(ISNUMBER(SEARCH("GPS定位模块",H323)),1,0)+IF(ISNUMBER(SEARCH("GSM通信模块",H323)),1,0)+IF(ISNUMBER(SEARCH("摄像头模块",H323)),1,0)+IF(ISNUMBER(SEARCH("人脸识别模块",H323)),1,0)+IF(ISNUMBER(SEARCH("手势识别传感器",H323)),1,0)))</f>
        <v>90</v>
      </c>
      <c r="M323" s="12">
        <f>计价规则!$B$4+计价规则!$B$5*IF(H323="",0,LEN(H323)-LEN(SUBSTITUTE(H323,"、",""))+1)</f>
        <v>90</v>
      </c>
      <c r="N323" s="12">
        <v>200</v>
      </c>
      <c r="O323" s="12">
        <f>计价规则!$B$6</f>
        <v>100</v>
      </c>
      <c r="P323" s="12">
        <f>计价规则!$B$6</f>
        <v>100</v>
      </c>
      <c r="Q323" s="12">
        <f>计价规则!$B$6</f>
        <v>100</v>
      </c>
      <c r="R323" s="12">
        <f>计价规则!$B$7</f>
        <v>400</v>
      </c>
      <c r="S323" s="8" t="s">
        <v>26</v>
      </c>
      <c r="T323" s="13">
        <v>322</v>
      </c>
    </row>
    <row r="324" ht="26" customHeight="1" spans="1:20">
      <c r="A324" s="8">
        <f t="shared" si="5"/>
        <v>323</v>
      </c>
      <c r="B324" s="8" t="s">
        <v>683</v>
      </c>
      <c r="C324" s="14" t="s">
        <v>919</v>
      </c>
      <c r="D324" s="10" t="s">
        <v>920</v>
      </c>
      <c r="E324" s="11" t="s">
        <v>283</v>
      </c>
      <c r="F324" s="11"/>
      <c r="G324" s="10" t="s">
        <v>24</v>
      </c>
      <c r="H324" s="10" t="s">
        <v>66</v>
      </c>
      <c r="I324" s="10"/>
      <c r="J324" s="10"/>
      <c r="K324" s="10"/>
      <c r="L324" s="12">
        <f>计价规则!$B$2+计价规则!$B$3*MAX(0,IF(H324="",0,LEN(H324)-LEN(SUBSTITUTE(H324,"、",""))+1)-(IF(ISNUMBER(SEARCH("WiFi通信模块",H324)),1,0)+IF(ISNUMBER(SEARCH("ESP8266 WiFi模块",H324)),1,0)+IF(ISNUMBER(SEARCH("NRF24L01无线通信模块",H324)),1,0)+IF(ISNUMBER(SEARCH("蓝牙模块",H324)),1,0)+IF(ISNUMBER(SEARCH("语音识别模块",H324)),1,0)+IF(ISNUMBER(SEARCH("语音播报模块",H324)),1,0)+IF(ISNUMBER(SEARCH("RFID模块",H324)),1,0)+IF(ISNUMBER(SEARCH("RFID读卡模块",H324)),1,0)+IF(ISNUMBER(SEARCH("GPS定位模块",H324)),1,0)+IF(ISNUMBER(SEARCH("GSM通信模块",H324)),1,0)+IF(ISNUMBER(SEARCH("摄像头模块",H324)),1,0)+IF(ISNUMBER(SEARCH("人脸识别模块",H324)),1,0)+IF(ISNUMBER(SEARCH("手势识别传感器",H324)),1,0)))</f>
        <v>90</v>
      </c>
      <c r="M324" s="12">
        <f>计价规则!$B$4+计价规则!$B$5*IF(H324="",0,LEN(H324)-LEN(SUBSTITUTE(H324,"、",""))+1)</f>
        <v>90</v>
      </c>
      <c r="N324" s="12">
        <v>200</v>
      </c>
      <c r="O324" s="12">
        <f>计价规则!$B$6</f>
        <v>100</v>
      </c>
      <c r="P324" s="12">
        <f>计价规则!$B$6</f>
        <v>100</v>
      </c>
      <c r="Q324" s="12">
        <f>计价规则!$B$6</f>
        <v>100</v>
      </c>
      <c r="R324" s="12">
        <f>计价规则!$B$7</f>
        <v>400</v>
      </c>
      <c r="S324" s="8" t="s">
        <v>26</v>
      </c>
      <c r="T324" s="13">
        <v>323</v>
      </c>
    </row>
    <row r="325" ht="26" customHeight="1" spans="1:20">
      <c r="A325" s="8">
        <f t="shared" si="5"/>
        <v>324</v>
      </c>
      <c r="B325" s="8" t="s">
        <v>683</v>
      </c>
      <c r="C325" s="14" t="s">
        <v>921</v>
      </c>
      <c r="D325" s="10" t="s">
        <v>922</v>
      </c>
      <c r="E325" s="11" t="s">
        <v>283</v>
      </c>
      <c r="F325" s="11" t="s">
        <v>923</v>
      </c>
      <c r="G325" s="10" t="s">
        <v>73</v>
      </c>
      <c r="H325" s="10" t="s">
        <v>543</v>
      </c>
      <c r="I325" s="10"/>
      <c r="J325" s="10"/>
      <c r="K325" s="10"/>
      <c r="L325" s="12">
        <f>计价规则!$B$2+计价规则!$B$3*MAX(0,IF(H325="",0,LEN(H325)-LEN(SUBSTITUTE(H325,"、",""))+1)-(IF(ISNUMBER(SEARCH("WiFi通信模块",H325)),1,0)+IF(ISNUMBER(SEARCH("ESP8266 WiFi模块",H325)),1,0)+IF(ISNUMBER(SEARCH("NRF24L01无线通信模块",H325)),1,0)+IF(ISNUMBER(SEARCH("蓝牙模块",H325)),1,0)+IF(ISNUMBER(SEARCH("语音识别模块",H325)),1,0)+IF(ISNUMBER(SEARCH("语音播报模块",H325)),1,0)+IF(ISNUMBER(SEARCH("RFID模块",H325)),1,0)+IF(ISNUMBER(SEARCH("RFID读卡模块",H325)),1,0)+IF(ISNUMBER(SEARCH("GPS定位模块",H325)),1,0)+IF(ISNUMBER(SEARCH("GSM通信模块",H325)),1,0)+IF(ISNUMBER(SEARCH("摄像头模块",H325)),1,0)+IF(ISNUMBER(SEARCH("人脸识别模块",H325)),1,0)+IF(ISNUMBER(SEARCH("手势识别传感器",H325)),1,0)))</f>
        <v>90</v>
      </c>
      <c r="M325" s="12">
        <f>计价规则!$B$4+计价规则!$B$5*IF(H325="",0,LEN(H325)-LEN(SUBSTITUTE(H325,"、",""))+1)</f>
        <v>90</v>
      </c>
      <c r="N325" s="12">
        <v>200</v>
      </c>
      <c r="O325" s="12">
        <f>计价规则!$B$6</f>
        <v>100</v>
      </c>
      <c r="P325" s="12">
        <f>计价规则!$B$6</f>
        <v>100</v>
      </c>
      <c r="Q325" s="12">
        <f>计价规则!$B$6</f>
        <v>100</v>
      </c>
      <c r="R325" s="12">
        <f>计价规则!$B$7</f>
        <v>400</v>
      </c>
      <c r="S325" s="8" t="s">
        <v>26</v>
      </c>
      <c r="T325" s="13">
        <v>324</v>
      </c>
    </row>
    <row r="326" ht="26" customHeight="1" spans="1:20">
      <c r="A326" s="8">
        <f t="shared" si="5"/>
        <v>325</v>
      </c>
      <c r="B326" s="8" t="s">
        <v>683</v>
      </c>
      <c r="C326" s="14" t="s">
        <v>924</v>
      </c>
      <c r="D326" s="10" t="s">
        <v>925</v>
      </c>
      <c r="E326" s="11" t="s">
        <v>283</v>
      </c>
      <c r="F326" s="11"/>
      <c r="G326" s="10" t="s">
        <v>73</v>
      </c>
      <c r="H326" s="10" t="s">
        <v>926</v>
      </c>
      <c r="I326" s="10"/>
      <c r="J326" s="10"/>
      <c r="K326" s="10" t="s">
        <v>927</v>
      </c>
      <c r="L326" s="12">
        <f>计价规则!$B$2+计价规则!$B$3*MAX(0,IF(H326="",0,LEN(H326)-LEN(SUBSTITUTE(H326,"、",""))+1)-(IF(ISNUMBER(SEARCH("WiFi通信模块",H326)),1,0)+IF(ISNUMBER(SEARCH("ESP8266 WiFi模块",H326)),1,0)+IF(ISNUMBER(SEARCH("NRF24L01无线通信模块",H326)),1,0)+IF(ISNUMBER(SEARCH("蓝牙模块",H326)),1,0)+IF(ISNUMBER(SEARCH("语音识别模块",H326)),1,0)+IF(ISNUMBER(SEARCH("语音播报模块",H326)),1,0)+IF(ISNUMBER(SEARCH("RFID模块",H326)),1,0)+IF(ISNUMBER(SEARCH("RFID读卡模块",H326)),1,0)+IF(ISNUMBER(SEARCH("GPS定位模块",H326)),1,0)+IF(ISNUMBER(SEARCH("GSM通信模块",H326)),1,0)+IF(ISNUMBER(SEARCH("摄像头模块",H326)),1,0)+IF(ISNUMBER(SEARCH("人脸识别模块",H326)),1,0)+IF(ISNUMBER(SEARCH("手势识别传感器",H326)),1,0)))</f>
        <v>75</v>
      </c>
      <c r="M326" s="12">
        <f>计价规则!$B$4+计价规则!$B$5*IF(H326="",0,LEN(H326)-LEN(SUBSTITUTE(H326,"、",""))+1)</f>
        <v>90</v>
      </c>
      <c r="N326" s="12">
        <v>200</v>
      </c>
      <c r="O326" s="12">
        <f>计价规则!$B$6</f>
        <v>100</v>
      </c>
      <c r="P326" s="12">
        <f>计价规则!$B$6</f>
        <v>100</v>
      </c>
      <c r="Q326" s="12">
        <f>计价规则!$B$6</f>
        <v>100</v>
      </c>
      <c r="R326" s="12">
        <f>计价规则!$B$7</f>
        <v>400</v>
      </c>
      <c r="S326" s="8" t="s">
        <v>26</v>
      </c>
      <c r="T326" s="13">
        <v>325</v>
      </c>
    </row>
    <row r="327" ht="26" customHeight="1" spans="1:20">
      <c r="A327" s="8">
        <f t="shared" si="5"/>
        <v>326</v>
      </c>
      <c r="B327" s="8" t="s">
        <v>683</v>
      </c>
      <c r="C327" s="14" t="s">
        <v>928</v>
      </c>
      <c r="D327" s="10" t="s">
        <v>929</v>
      </c>
      <c r="E327" s="11" t="s">
        <v>283</v>
      </c>
      <c r="F327" s="11"/>
      <c r="G327" s="10" t="s">
        <v>930</v>
      </c>
      <c r="H327" s="10" t="s">
        <v>931</v>
      </c>
      <c r="I327" s="10"/>
      <c r="J327" s="10"/>
      <c r="K327" s="10" t="s">
        <v>120</v>
      </c>
      <c r="L327" s="12">
        <f>计价规则!$B$2+计价规则!$B$3*MAX(0,IF(H327="",0,LEN(H327)-LEN(SUBSTITUTE(H327,"、",""))+1)-(IF(ISNUMBER(SEARCH("WiFi通信模块",H327)),1,0)+IF(ISNUMBER(SEARCH("ESP8266 WiFi模块",H327)),1,0)+IF(ISNUMBER(SEARCH("NRF24L01无线通信模块",H327)),1,0)+IF(ISNUMBER(SEARCH("蓝牙模块",H327)),1,0)+IF(ISNUMBER(SEARCH("语音识别模块",H327)),1,0)+IF(ISNUMBER(SEARCH("语音播报模块",H327)),1,0)+IF(ISNUMBER(SEARCH("RFID模块",H327)),1,0)+IF(ISNUMBER(SEARCH("RFID读卡模块",H327)),1,0)+IF(ISNUMBER(SEARCH("GPS定位模块",H327)),1,0)+IF(ISNUMBER(SEARCH("GSM通信模块",H327)),1,0)+IF(ISNUMBER(SEARCH("摄像头模块",H327)),1,0)+IF(ISNUMBER(SEARCH("人脸识别模块",H327)),1,0)+IF(ISNUMBER(SEARCH("手势识别传感器",H327)),1,0)))</f>
        <v>105</v>
      </c>
      <c r="M327" s="12">
        <f>计价规则!$B$4+计价规则!$B$5*IF(H327="",0,LEN(H327)-LEN(SUBSTITUTE(H327,"、",""))+1)</f>
        <v>130</v>
      </c>
      <c r="N327" s="12">
        <v>200</v>
      </c>
      <c r="O327" s="12">
        <f>计价规则!$B$6</f>
        <v>100</v>
      </c>
      <c r="P327" s="12">
        <f>计价规则!$B$6</f>
        <v>100</v>
      </c>
      <c r="Q327" s="12">
        <f>计价规则!$B$6</f>
        <v>100</v>
      </c>
      <c r="R327" s="12">
        <f>计价规则!$B$7</f>
        <v>400</v>
      </c>
      <c r="S327" s="8" t="s">
        <v>26</v>
      </c>
      <c r="T327" s="13">
        <v>326</v>
      </c>
    </row>
    <row r="328" ht="26" customHeight="1" spans="1:20">
      <c r="A328" s="8">
        <f t="shared" si="5"/>
        <v>327</v>
      </c>
      <c r="B328" s="8" t="s">
        <v>683</v>
      </c>
      <c r="C328" s="14" t="s">
        <v>932</v>
      </c>
      <c r="D328" s="10" t="s">
        <v>933</v>
      </c>
      <c r="E328" s="11" t="s">
        <v>283</v>
      </c>
      <c r="F328" s="11"/>
      <c r="G328" s="10" t="s">
        <v>73</v>
      </c>
      <c r="H328" s="10" t="s">
        <v>934</v>
      </c>
      <c r="I328" s="10"/>
      <c r="J328" s="10"/>
      <c r="K328" s="10" t="s">
        <v>935</v>
      </c>
      <c r="L328" s="12">
        <f>计价规则!$B$2+计价规则!$B$3*MAX(0,IF(H328="",0,LEN(H328)-LEN(SUBSTITUTE(H328,"、",""))+1)-(IF(ISNUMBER(SEARCH("WiFi通信模块",H328)),1,0)+IF(ISNUMBER(SEARCH("ESP8266 WiFi模块",H328)),1,0)+IF(ISNUMBER(SEARCH("NRF24L01无线通信模块",H328)),1,0)+IF(ISNUMBER(SEARCH("蓝牙模块",H328)),1,0)+IF(ISNUMBER(SEARCH("语音识别模块",H328)),1,0)+IF(ISNUMBER(SEARCH("语音播报模块",H328)),1,0)+IF(ISNUMBER(SEARCH("RFID模块",H328)),1,0)+IF(ISNUMBER(SEARCH("RFID读卡模块",H328)),1,0)+IF(ISNUMBER(SEARCH("GPS定位模块",H328)),1,0)+IF(ISNUMBER(SEARCH("GSM通信模块",H328)),1,0)+IF(ISNUMBER(SEARCH("摄像头模块",H328)),1,0)+IF(ISNUMBER(SEARCH("人脸识别模块",H328)),1,0)+IF(ISNUMBER(SEARCH("手势识别传感器",H328)),1,0)))</f>
        <v>90</v>
      </c>
      <c r="M328" s="12">
        <f>计价规则!$B$4+计价规则!$B$5*IF(H328="",0,LEN(H328)-LEN(SUBSTITUTE(H328,"、",""))+1)</f>
        <v>110</v>
      </c>
      <c r="N328" s="12">
        <v>200</v>
      </c>
      <c r="O328" s="12">
        <f>计价规则!$B$6</f>
        <v>100</v>
      </c>
      <c r="P328" s="12">
        <f>计价规则!$B$6</f>
        <v>100</v>
      </c>
      <c r="Q328" s="12">
        <f>计价规则!$B$6</f>
        <v>100</v>
      </c>
      <c r="R328" s="12">
        <f>计价规则!$B$7</f>
        <v>400</v>
      </c>
      <c r="S328" s="8" t="s">
        <v>26</v>
      </c>
      <c r="T328" s="13">
        <v>327</v>
      </c>
    </row>
    <row r="329" ht="26" customHeight="1" spans="1:20">
      <c r="A329" s="8">
        <f t="shared" si="5"/>
        <v>328</v>
      </c>
      <c r="B329" s="8" t="s">
        <v>683</v>
      </c>
      <c r="C329" s="14" t="s">
        <v>936</v>
      </c>
      <c r="D329" s="10" t="s">
        <v>937</v>
      </c>
      <c r="E329" s="11" t="s">
        <v>283</v>
      </c>
      <c r="F329" s="11"/>
      <c r="G329" s="10" t="s">
        <v>131</v>
      </c>
      <c r="H329" s="10" t="s">
        <v>100</v>
      </c>
      <c r="I329" s="10"/>
      <c r="J329" s="10"/>
      <c r="K329" s="10" t="s">
        <v>101</v>
      </c>
      <c r="L329" s="12">
        <f>计价规则!$B$2+计价规则!$B$3*MAX(0,IF(H329="",0,LEN(H329)-LEN(SUBSTITUTE(H329,"、",""))+1)-(IF(ISNUMBER(SEARCH("WiFi通信模块",H329)),1,0)+IF(ISNUMBER(SEARCH("ESP8266 WiFi模块",H329)),1,0)+IF(ISNUMBER(SEARCH("NRF24L01无线通信模块",H329)),1,0)+IF(ISNUMBER(SEARCH("蓝牙模块",H329)),1,0)+IF(ISNUMBER(SEARCH("语音识别模块",H329)),1,0)+IF(ISNUMBER(SEARCH("语音播报模块",H329)),1,0)+IF(ISNUMBER(SEARCH("RFID模块",H329)),1,0)+IF(ISNUMBER(SEARCH("RFID读卡模块",H329)),1,0)+IF(ISNUMBER(SEARCH("GPS定位模块",H329)),1,0)+IF(ISNUMBER(SEARCH("GSM通信模块",H329)),1,0)+IF(ISNUMBER(SEARCH("摄像头模块",H329)),1,0)+IF(ISNUMBER(SEARCH("人脸识别模块",H329)),1,0)+IF(ISNUMBER(SEARCH("手势识别传感器",H329)),1,0)))</f>
        <v>90</v>
      </c>
      <c r="M329" s="12">
        <f>计价规则!$B$4+计价规则!$B$5*IF(H329="",0,LEN(H329)-LEN(SUBSTITUTE(H329,"、",""))+1)</f>
        <v>110</v>
      </c>
      <c r="N329" s="12">
        <v>200</v>
      </c>
      <c r="O329" s="12">
        <f>计价规则!$B$6</f>
        <v>100</v>
      </c>
      <c r="P329" s="12">
        <f>计价规则!$B$6</f>
        <v>100</v>
      </c>
      <c r="Q329" s="12">
        <f>计价规则!$B$6</f>
        <v>100</v>
      </c>
      <c r="R329" s="12">
        <f>计价规则!$B$7</f>
        <v>400</v>
      </c>
      <c r="S329" s="8" t="s">
        <v>26</v>
      </c>
      <c r="T329" s="13">
        <v>328</v>
      </c>
    </row>
    <row r="330" ht="26" customHeight="1" spans="1:20">
      <c r="A330" s="8">
        <f t="shared" si="5"/>
        <v>329</v>
      </c>
      <c r="B330" s="8" t="s">
        <v>683</v>
      </c>
      <c r="C330" s="14" t="s">
        <v>938</v>
      </c>
      <c r="D330" s="10" t="s">
        <v>939</v>
      </c>
      <c r="E330" s="11" t="s">
        <v>283</v>
      </c>
      <c r="F330" s="11"/>
      <c r="G330" s="10" t="s">
        <v>62</v>
      </c>
      <c r="H330" s="10" t="s">
        <v>862</v>
      </c>
      <c r="I330" s="10"/>
      <c r="J330" s="10"/>
      <c r="K330" s="10"/>
      <c r="L330" s="12">
        <f>计价规则!$B$2+计价规则!$B$3*MAX(0,IF(H330="",0,LEN(H330)-LEN(SUBSTITUTE(H330,"、",""))+1)-(IF(ISNUMBER(SEARCH("WiFi通信模块",H330)),1,0)+IF(ISNUMBER(SEARCH("ESP8266 WiFi模块",H330)),1,0)+IF(ISNUMBER(SEARCH("NRF24L01无线通信模块",H330)),1,0)+IF(ISNUMBER(SEARCH("蓝牙模块",H330)),1,0)+IF(ISNUMBER(SEARCH("语音识别模块",H330)),1,0)+IF(ISNUMBER(SEARCH("语音播报模块",H330)),1,0)+IF(ISNUMBER(SEARCH("RFID模块",H330)),1,0)+IF(ISNUMBER(SEARCH("RFID读卡模块",H330)),1,0)+IF(ISNUMBER(SEARCH("GPS定位模块",H330)),1,0)+IF(ISNUMBER(SEARCH("GSM通信模块",H330)),1,0)+IF(ISNUMBER(SEARCH("摄像头模块",H330)),1,0)+IF(ISNUMBER(SEARCH("人脸识别模块",H330)),1,0)+IF(ISNUMBER(SEARCH("手势识别传感器",H330)),1,0)))</f>
        <v>105</v>
      </c>
      <c r="M330" s="12">
        <f>计价规则!$B$4+计价规则!$B$5*IF(H330="",0,LEN(H330)-LEN(SUBSTITUTE(H330,"、",""))+1)</f>
        <v>110</v>
      </c>
      <c r="N330" s="12">
        <v>200</v>
      </c>
      <c r="O330" s="12">
        <f>计价规则!$B$6</f>
        <v>100</v>
      </c>
      <c r="P330" s="12">
        <f>计价规则!$B$6</f>
        <v>100</v>
      </c>
      <c r="Q330" s="12">
        <f>计价规则!$B$6</f>
        <v>100</v>
      </c>
      <c r="R330" s="12">
        <f>计价规则!$B$7</f>
        <v>400</v>
      </c>
      <c r="S330" s="8" t="s">
        <v>26</v>
      </c>
      <c r="T330" s="13">
        <v>329</v>
      </c>
    </row>
    <row r="331" ht="26" customHeight="1" spans="1:20">
      <c r="A331" s="8">
        <f t="shared" si="5"/>
        <v>330</v>
      </c>
      <c r="B331" s="8" t="s">
        <v>683</v>
      </c>
      <c r="C331" s="14" t="s">
        <v>940</v>
      </c>
      <c r="D331" s="10" t="s">
        <v>941</v>
      </c>
      <c r="E331" s="11" t="s">
        <v>283</v>
      </c>
      <c r="F331" s="11"/>
      <c r="G331" s="10" t="s">
        <v>942</v>
      </c>
      <c r="H331" s="10" t="s">
        <v>943</v>
      </c>
      <c r="I331" s="10"/>
      <c r="J331" s="10"/>
      <c r="K331" s="10" t="s">
        <v>120</v>
      </c>
      <c r="L331" s="12">
        <f>计价规则!$B$2+计价规则!$B$3*MAX(0,IF(H331="",0,LEN(H331)-LEN(SUBSTITUTE(H331,"、",""))+1)-(IF(ISNUMBER(SEARCH("WiFi通信模块",H331)),1,0)+IF(ISNUMBER(SEARCH("ESP8266 WiFi模块",H331)),1,0)+IF(ISNUMBER(SEARCH("NRF24L01无线通信模块",H331)),1,0)+IF(ISNUMBER(SEARCH("蓝牙模块",H331)),1,0)+IF(ISNUMBER(SEARCH("语音识别模块",H331)),1,0)+IF(ISNUMBER(SEARCH("语音播报模块",H331)),1,0)+IF(ISNUMBER(SEARCH("RFID模块",H331)),1,0)+IF(ISNUMBER(SEARCH("RFID读卡模块",H331)),1,0)+IF(ISNUMBER(SEARCH("GPS定位模块",H331)),1,0)+IF(ISNUMBER(SEARCH("GSM通信模块",H331)),1,0)+IF(ISNUMBER(SEARCH("摄像头模块",H331)),1,0)+IF(ISNUMBER(SEARCH("人脸识别模块",H331)),1,0)+IF(ISNUMBER(SEARCH("手势识别传感器",H331)),1,0)))</f>
        <v>75</v>
      </c>
      <c r="M331" s="12">
        <f>计价规则!$B$4+计价规则!$B$5*IF(H331="",0,LEN(H331)-LEN(SUBSTITUTE(H331,"、",""))+1)</f>
        <v>90</v>
      </c>
      <c r="N331" s="12">
        <v>200</v>
      </c>
      <c r="O331" s="12">
        <f>计价规则!$B$6</f>
        <v>100</v>
      </c>
      <c r="P331" s="12">
        <f>计价规则!$B$6</f>
        <v>100</v>
      </c>
      <c r="Q331" s="12">
        <f>计价规则!$B$6</f>
        <v>100</v>
      </c>
      <c r="R331" s="12">
        <f>计价规则!$B$7</f>
        <v>400</v>
      </c>
      <c r="S331" s="8" t="s">
        <v>26</v>
      </c>
      <c r="T331" s="13">
        <v>330</v>
      </c>
    </row>
    <row r="332" ht="26" customHeight="1" spans="1:20">
      <c r="A332" s="8">
        <f t="shared" si="5"/>
        <v>331</v>
      </c>
      <c r="B332" s="8" t="s">
        <v>683</v>
      </c>
      <c r="C332" s="14" t="s">
        <v>944</v>
      </c>
      <c r="D332" s="10" t="s">
        <v>945</v>
      </c>
      <c r="E332" s="11" t="s">
        <v>283</v>
      </c>
      <c r="F332" s="11"/>
      <c r="G332" s="10" t="s">
        <v>69</v>
      </c>
      <c r="H332" s="10" t="s">
        <v>127</v>
      </c>
      <c r="I332" s="10"/>
      <c r="J332" s="10"/>
      <c r="K332" s="10" t="s">
        <v>128</v>
      </c>
      <c r="L332" s="12">
        <f>计价规则!$B$2+计价规则!$B$3*MAX(0,IF(H332="",0,LEN(H332)-LEN(SUBSTITUTE(H332,"、",""))+1)-(IF(ISNUMBER(SEARCH("WiFi通信模块",H332)),1,0)+IF(ISNUMBER(SEARCH("ESP8266 WiFi模块",H332)),1,0)+IF(ISNUMBER(SEARCH("NRF24L01无线通信模块",H332)),1,0)+IF(ISNUMBER(SEARCH("蓝牙模块",H332)),1,0)+IF(ISNUMBER(SEARCH("语音识别模块",H332)),1,0)+IF(ISNUMBER(SEARCH("语音播报模块",H332)),1,0)+IF(ISNUMBER(SEARCH("RFID模块",H332)),1,0)+IF(ISNUMBER(SEARCH("RFID读卡模块",H332)),1,0)+IF(ISNUMBER(SEARCH("GPS定位模块",H332)),1,0)+IF(ISNUMBER(SEARCH("GSM通信模块",H332)),1,0)+IF(ISNUMBER(SEARCH("摄像头模块",H332)),1,0)+IF(ISNUMBER(SEARCH("人脸识别模块",H332)),1,0)+IF(ISNUMBER(SEARCH("手势识别传感器",H332)),1,0)))</f>
        <v>90</v>
      </c>
      <c r="M332" s="12">
        <f>计价规则!$B$4+计价规则!$B$5*IF(H332="",0,LEN(H332)-LEN(SUBSTITUTE(H332,"、",""))+1)</f>
        <v>110</v>
      </c>
      <c r="N332" s="12">
        <v>200</v>
      </c>
      <c r="O332" s="12">
        <f>计价规则!$B$6</f>
        <v>100</v>
      </c>
      <c r="P332" s="12">
        <f>计价规则!$B$6</f>
        <v>100</v>
      </c>
      <c r="Q332" s="12">
        <f>计价规则!$B$6</f>
        <v>100</v>
      </c>
      <c r="R332" s="12">
        <f>计价规则!$B$7</f>
        <v>400</v>
      </c>
      <c r="S332" s="8" t="s">
        <v>26</v>
      </c>
      <c r="T332" s="13">
        <v>331</v>
      </c>
    </row>
    <row r="333" ht="26" customHeight="1" spans="1:20">
      <c r="A333" s="8">
        <f t="shared" si="5"/>
        <v>332</v>
      </c>
      <c r="B333" s="8" t="s">
        <v>683</v>
      </c>
      <c r="C333" s="14" t="s">
        <v>946</v>
      </c>
      <c r="D333" s="10" t="s">
        <v>947</v>
      </c>
      <c r="E333" s="11" t="s">
        <v>283</v>
      </c>
      <c r="F333" s="11"/>
      <c r="G333" s="10" t="s">
        <v>24</v>
      </c>
      <c r="H333" s="10" t="s">
        <v>909</v>
      </c>
      <c r="I333" s="10"/>
      <c r="J333" s="10"/>
      <c r="K333" s="10"/>
      <c r="L333" s="12">
        <f>计价规则!$B$2+计价规则!$B$3*MAX(0,IF(H333="",0,LEN(H333)-LEN(SUBSTITUTE(H333,"、",""))+1)-(IF(ISNUMBER(SEARCH("WiFi通信模块",H333)),1,0)+IF(ISNUMBER(SEARCH("ESP8266 WiFi模块",H333)),1,0)+IF(ISNUMBER(SEARCH("NRF24L01无线通信模块",H333)),1,0)+IF(ISNUMBER(SEARCH("蓝牙模块",H333)),1,0)+IF(ISNUMBER(SEARCH("语音识别模块",H333)),1,0)+IF(ISNUMBER(SEARCH("语音播报模块",H333)),1,0)+IF(ISNUMBER(SEARCH("RFID模块",H333)),1,0)+IF(ISNUMBER(SEARCH("RFID读卡模块",H333)),1,0)+IF(ISNUMBER(SEARCH("GPS定位模块",H333)),1,0)+IF(ISNUMBER(SEARCH("GSM通信模块",H333)),1,0)+IF(ISNUMBER(SEARCH("摄像头模块",H333)),1,0)+IF(ISNUMBER(SEARCH("人脸识别模块",H333)),1,0)+IF(ISNUMBER(SEARCH("手势识别传感器",H333)),1,0)))</f>
        <v>90</v>
      </c>
      <c r="M333" s="12">
        <f>计价规则!$B$4+计价规则!$B$5*IF(H333="",0,LEN(H333)-LEN(SUBSTITUTE(H333,"、",""))+1)</f>
        <v>90</v>
      </c>
      <c r="N333" s="12">
        <v>200</v>
      </c>
      <c r="O333" s="12">
        <f>计价规则!$B$6</f>
        <v>100</v>
      </c>
      <c r="P333" s="12">
        <f>计价规则!$B$6</f>
        <v>100</v>
      </c>
      <c r="Q333" s="12">
        <f>计价规则!$B$6</f>
        <v>100</v>
      </c>
      <c r="R333" s="12">
        <f>计价规则!$B$7</f>
        <v>400</v>
      </c>
      <c r="S333" s="8" t="s">
        <v>26</v>
      </c>
      <c r="T333" s="13">
        <v>332</v>
      </c>
    </row>
    <row r="334" ht="26" customHeight="1" spans="1:20">
      <c r="A334" s="8">
        <f t="shared" si="5"/>
        <v>333</v>
      </c>
      <c r="B334" s="8" t="s">
        <v>683</v>
      </c>
      <c r="C334" s="14" t="s">
        <v>948</v>
      </c>
      <c r="D334" s="10" t="s">
        <v>949</v>
      </c>
      <c r="E334" s="11" t="s">
        <v>283</v>
      </c>
      <c r="F334" s="11"/>
      <c r="G334" s="10" t="s">
        <v>24</v>
      </c>
      <c r="H334" s="10" t="s">
        <v>950</v>
      </c>
      <c r="I334" s="10"/>
      <c r="J334" s="10"/>
      <c r="K334" s="10" t="s">
        <v>951</v>
      </c>
      <c r="L334" s="12">
        <f>计价规则!$B$2+计价规则!$B$3*MAX(0,IF(H334="",0,LEN(H334)-LEN(SUBSTITUTE(H334,"、",""))+1)-(IF(ISNUMBER(SEARCH("WiFi通信模块",H334)),1,0)+IF(ISNUMBER(SEARCH("ESP8266 WiFi模块",H334)),1,0)+IF(ISNUMBER(SEARCH("NRF24L01无线通信模块",H334)),1,0)+IF(ISNUMBER(SEARCH("蓝牙模块",H334)),1,0)+IF(ISNUMBER(SEARCH("语音识别模块",H334)),1,0)+IF(ISNUMBER(SEARCH("语音播报模块",H334)),1,0)+IF(ISNUMBER(SEARCH("RFID模块",H334)),1,0)+IF(ISNUMBER(SEARCH("RFID读卡模块",H334)),1,0)+IF(ISNUMBER(SEARCH("GPS定位模块",H334)),1,0)+IF(ISNUMBER(SEARCH("GSM通信模块",H334)),1,0)+IF(ISNUMBER(SEARCH("摄像头模块",H334)),1,0)+IF(ISNUMBER(SEARCH("人脸识别模块",H334)),1,0)+IF(ISNUMBER(SEARCH("手势识别传感器",H334)),1,0)))</f>
        <v>60</v>
      </c>
      <c r="M334" s="12">
        <f>计价规则!$B$4+计价规则!$B$5*IF(H334="",0,LEN(H334)-LEN(SUBSTITUTE(H334,"、",""))+1)</f>
        <v>90</v>
      </c>
      <c r="N334" s="12">
        <v>200</v>
      </c>
      <c r="O334" s="12">
        <f>计价规则!$B$6</f>
        <v>100</v>
      </c>
      <c r="P334" s="12">
        <f>计价规则!$B$6</f>
        <v>100</v>
      </c>
      <c r="Q334" s="12">
        <f>计价规则!$B$6</f>
        <v>100</v>
      </c>
      <c r="R334" s="12">
        <f>计价规则!$B$7</f>
        <v>400</v>
      </c>
      <c r="S334" s="8" t="s">
        <v>26</v>
      </c>
      <c r="T334" s="13">
        <v>333</v>
      </c>
    </row>
    <row r="335" ht="26" customHeight="1" spans="1:20">
      <c r="A335" s="8">
        <f t="shared" si="5"/>
        <v>334</v>
      </c>
      <c r="B335" s="8" t="s">
        <v>683</v>
      </c>
      <c r="C335" s="14" t="s">
        <v>952</v>
      </c>
      <c r="D335" s="10" t="s">
        <v>953</v>
      </c>
      <c r="E335" s="11" t="s">
        <v>283</v>
      </c>
      <c r="F335" s="11"/>
      <c r="G335" s="10" t="s">
        <v>58</v>
      </c>
      <c r="H335" s="10" t="s">
        <v>954</v>
      </c>
      <c r="I335" s="10"/>
      <c r="J335" s="10"/>
      <c r="K335" s="10"/>
      <c r="L335" s="12">
        <f>计价规则!$B$2+计价规则!$B$3*MAX(0,IF(H335="",0,LEN(H335)-LEN(SUBSTITUTE(H335,"、",""))+1)-(IF(ISNUMBER(SEARCH("WiFi通信模块",H335)),1,0)+IF(ISNUMBER(SEARCH("ESP8266 WiFi模块",H335)),1,0)+IF(ISNUMBER(SEARCH("NRF24L01无线通信模块",H335)),1,0)+IF(ISNUMBER(SEARCH("蓝牙模块",H335)),1,0)+IF(ISNUMBER(SEARCH("语音识别模块",H335)),1,0)+IF(ISNUMBER(SEARCH("语音播报模块",H335)),1,0)+IF(ISNUMBER(SEARCH("RFID模块",H335)),1,0)+IF(ISNUMBER(SEARCH("RFID读卡模块",H335)),1,0)+IF(ISNUMBER(SEARCH("GPS定位模块",H335)),1,0)+IF(ISNUMBER(SEARCH("GSM通信模块",H335)),1,0)+IF(ISNUMBER(SEARCH("摄像头模块",H335)),1,0)+IF(ISNUMBER(SEARCH("人脸识别模块",H335)),1,0)+IF(ISNUMBER(SEARCH("手势识别传感器",H335)),1,0)))</f>
        <v>105</v>
      </c>
      <c r="M335" s="12">
        <f>计价规则!$B$4+计价规则!$B$5*IF(H335="",0,LEN(H335)-LEN(SUBSTITUTE(H335,"、",""))+1)</f>
        <v>110</v>
      </c>
      <c r="N335" s="12"/>
      <c r="O335" s="12">
        <f>计价规则!$B$6</f>
        <v>100</v>
      </c>
      <c r="P335" s="12">
        <f>计价规则!$B$6</f>
        <v>100</v>
      </c>
      <c r="Q335" s="12">
        <f>计价规则!$B$6</f>
        <v>100</v>
      </c>
      <c r="R335" s="12">
        <f>计价规则!$B$7</f>
        <v>400</v>
      </c>
      <c r="S335" s="8" t="s">
        <v>26</v>
      </c>
      <c r="T335" s="13">
        <v>334</v>
      </c>
    </row>
    <row r="336" ht="26" customHeight="1" spans="1:20">
      <c r="A336" s="8">
        <f t="shared" si="5"/>
        <v>335</v>
      </c>
      <c r="B336" s="8" t="s">
        <v>683</v>
      </c>
      <c r="C336" s="14" t="s">
        <v>955</v>
      </c>
      <c r="D336" s="10" t="s">
        <v>922</v>
      </c>
      <c r="E336" s="11" t="s">
        <v>283</v>
      </c>
      <c r="F336" s="11" t="s">
        <v>923</v>
      </c>
      <c r="G336" s="10" t="s">
        <v>73</v>
      </c>
      <c r="H336" s="10" t="s">
        <v>543</v>
      </c>
      <c r="I336" s="10"/>
      <c r="J336" s="10"/>
      <c r="K336" s="10"/>
      <c r="L336" s="12">
        <f>计价规则!$B$2+计价规则!$B$3*MAX(0,IF(H336="",0,LEN(H336)-LEN(SUBSTITUTE(H336,"、",""))+1)-(IF(ISNUMBER(SEARCH("WiFi通信模块",H336)),1,0)+IF(ISNUMBER(SEARCH("ESP8266 WiFi模块",H336)),1,0)+IF(ISNUMBER(SEARCH("NRF24L01无线通信模块",H336)),1,0)+IF(ISNUMBER(SEARCH("蓝牙模块",H336)),1,0)+IF(ISNUMBER(SEARCH("语音识别模块",H336)),1,0)+IF(ISNUMBER(SEARCH("语音播报模块",H336)),1,0)+IF(ISNUMBER(SEARCH("RFID模块",H336)),1,0)+IF(ISNUMBER(SEARCH("RFID读卡模块",H336)),1,0)+IF(ISNUMBER(SEARCH("GPS定位模块",H336)),1,0)+IF(ISNUMBER(SEARCH("GSM通信模块",H336)),1,0)+IF(ISNUMBER(SEARCH("摄像头模块",H336)),1,0)+IF(ISNUMBER(SEARCH("人脸识别模块",H336)),1,0)+IF(ISNUMBER(SEARCH("手势识别传感器",H336)),1,0)))</f>
        <v>90</v>
      </c>
      <c r="M336" s="12">
        <f>计价规则!$B$4+计价规则!$B$5*IF(H336="",0,LEN(H336)-LEN(SUBSTITUTE(H336,"、",""))+1)</f>
        <v>90</v>
      </c>
      <c r="N336" s="12"/>
      <c r="O336" s="12">
        <f>计价规则!$B$6</f>
        <v>100</v>
      </c>
      <c r="P336" s="12">
        <f>计价规则!$B$6</f>
        <v>100</v>
      </c>
      <c r="Q336" s="12">
        <f>计价规则!$B$6</f>
        <v>100</v>
      </c>
      <c r="R336" s="12">
        <f>计价规则!$B$7</f>
        <v>400</v>
      </c>
      <c r="S336" s="8" t="s">
        <v>26</v>
      </c>
      <c r="T336" s="13">
        <v>335</v>
      </c>
    </row>
    <row r="337" ht="26" customHeight="1" spans="1:20">
      <c r="A337" s="8">
        <f t="shared" si="5"/>
        <v>336</v>
      </c>
      <c r="B337" s="8" t="s">
        <v>683</v>
      </c>
      <c r="C337" s="14" t="s">
        <v>956</v>
      </c>
      <c r="D337" s="10" t="s">
        <v>925</v>
      </c>
      <c r="E337" s="11" t="s">
        <v>283</v>
      </c>
      <c r="F337" s="11"/>
      <c r="G337" s="10" t="s">
        <v>73</v>
      </c>
      <c r="H337" s="10" t="s">
        <v>926</v>
      </c>
      <c r="I337" s="10"/>
      <c r="J337" s="10"/>
      <c r="K337" s="10" t="s">
        <v>927</v>
      </c>
      <c r="L337" s="12">
        <f>计价规则!$B$2+计价规则!$B$3*MAX(0,IF(H337="",0,LEN(H337)-LEN(SUBSTITUTE(H337,"、",""))+1)-(IF(ISNUMBER(SEARCH("WiFi通信模块",H337)),1,0)+IF(ISNUMBER(SEARCH("ESP8266 WiFi模块",H337)),1,0)+IF(ISNUMBER(SEARCH("NRF24L01无线通信模块",H337)),1,0)+IF(ISNUMBER(SEARCH("蓝牙模块",H337)),1,0)+IF(ISNUMBER(SEARCH("语音识别模块",H337)),1,0)+IF(ISNUMBER(SEARCH("语音播报模块",H337)),1,0)+IF(ISNUMBER(SEARCH("RFID模块",H337)),1,0)+IF(ISNUMBER(SEARCH("RFID读卡模块",H337)),1,0)+IF(ISNUMBER(SEARCH("GPS定位模块",H337)),1,0)+IF(ISNUMBER(SEARCH("GSM通信模块",H337)),1,0)+IF(ISNUMBER(SEARCH("摄像头模块",H337)),1,0)+IF(ISNUMBER(SEARCH("人脸识别模块",H337)),1,0)+IF(ISNUMBER(SEARCH("手势识别传感器",H337)),1,0)))</f>
        <v>75</v>
      </c>
      <c r="M337" s="12">
        <f>计价规则!$B$4+计价规则!$B$5*IF(H337="",0,LEN(H337)-LEN(SUBSTITUTE(H337,"、",""))+1)</f>
        <v>90</v>
      </c>
      <c r="N337" s="12"/>
      <c r="O337" s="12">
        <f>计价规则!$B$6</f>
        <v>100</v>
      </c>
      <c r="P337" s="12">
        <f>计价规则!$B$6</f>
        <v>100</v>
      </c>
      <c r="Q337" s="12">
        <f>计价规则!$B$6</f>
        <v>100</v>
      </c>
      <c r="R337" s="12">
        <f>计价规则!$B$7</f>
        <v>400</v>
      </c>
      <c r="S337" s="8" t="s">
        <v>26</v>
      </c>
      <c r="T337" s="13">
        <v>336</v>
      </c>
    </row>
    <row r="338" ht="26" customHeight="1" spans="1:20">
      <c r="A338" s="8">
        <f t="shared" si="5"/>
        <v>337</v>
      </c>
      <c r="B338" s="8" t="s">
        <v>683</v>
      </c>
      <c r="C338" s="14" t="s">
        <v>957</v>
      </c>
      <c r="D338" s="10" t="s">
        <v>929</v>
      </c>
      <c r="E338" s="11" t="s">
        <v>283</v>
      </c>
      <c r="F338" s="11"/>
      <c r="G338" s="10" t="s">
        <v>930</v>
      </c>
      <c r="H338" s="10" t="s">
        <v>931</v>
      </c>
      <c r="I338" s="10"/>
      <c r="J338" s="10"/>
      <c r="K338" s="10" t="s">
        <v>120</v>
      </c>
      <c r="L338" s="12">
        <f>计价规则!$B$2+计价规则!$B$3*MAX(0,IF(H338="",0,LEN(H338)-LEN(SUBSTITUTE(H338,"、",""))+1)-(IF(ISNUMBER(SEARCH("WiFi通信模块",H338)),1,0)+IF(ISNUMBER(SEARCH("ESP8266 WiFi模块",H338)),1,0)+IF(ISNUMBER(SEARCH("NRF24L01无线通信模块",H338)),1,0)+IF(ISNUMBER(SEARCH("蓝牙模块",H338)),1,0)+IF(ISNUMBER(SEARCH("语音识别模块",H338)),1,0)+IF(ISNUMBER(SEARCH("语音播报模块",H338)),1,0)+IF(ISNUMBER(SEARCH("RFID模块",H338)),1,0)+IF(ISNUMBER(SEARCH("RFID读卡模块",H338)),1,0)+IF(ISNUMBER(SEARCH("GPS定位模块",H338)),1,0)+IF(ISNUMBER(SEARCH("GSM通信模块",H338)),1,0)+IF(ISNUMBER(SEARCH("摄像头模块",H338)),1,0)+IF(ISNUMBER(SEARCH("人脸识别模块",H338)),1,0)+IF(ISNUMBER(SEARCH("手势识别传感器",H338)),1,0)))</f>
        <v>105</v>
      </c>
      <c r="M338" s="12">
        <f>计价规则!$B$4+计价规则!$B$5*IF(H338="",0,LEN(H338)-LEN(SUBSTITUTE(H338,"、",""))+1)</f>
        <v>130</v>
      </c>
      <c r="N338" s="12"/>
      <c r="O338" s="12">
        <f>计价规则!$B$6</f>
        <v>100</v>
      </c>
      <c r="P338" s="12">
        <f>计价规则!$B$6</f>
        <v>100</v>
      </c>
      <c r="Q338" s="12">
        <f>计价规则!$B$6</f>
        <v>100</v>
      </c>
      <c r="R338" s="12">
        <f>计价规则!$B$7</f>
        <v>400</v>
      </c>
      <c r="S338" s="8" t="s">
        <v>26</v>
      </c>
      <c r="T338" s="13">
        <v>337</v>
      </c>
    </row>
    <row r="339" ht="26" customHeight="1" spans="1:20">
      <c r="A339" s="8">
        <f t="shared" si="5"/>
        <v>338</v>
      </c>
      <c r="B339" s="8" t="s">
        <v>683</v>
      </c>
      <c r="C339" s="14" t="s">
        <v>958</v>
      </c>
      <c r="D339" s="10" t="s">
        <v>933</v>
      </c>
      <c r="E339" s="11" t="s">
        <v>283</v>
      </c>
      <c r="F339" s="11"/>
      <c r="G339" s="10" t="s">
        <v>73</v>
      </c>
      <c r="H339" s="10" t="s">
        <v>934</v>
      </c>
      <c r="I339" s="10"/>
      <c r="J339" s="10"/>
      <c r="K339" s="10" t="s">
        <v>935</v>
      </c>
      <c r="L339" s="12">
        <f>计价规则!$B$2+计价规则!$B$3*MAX(0,IF(H339="",0,LEN(H339)-LEN(SUBSTITUTE(H339,"、",""))+1)-(IF(ISNUMBER(SEARCH("WiFi通信模块",H339)),1,0)+IF(ISNUMBER(SEARCH("ESP8266 WiFi模块",H339)),1,0)+IF(ISNUMBER(SEARCH("NRF24L01无线通信模块",H339)),1,0)+IF(ISNUMBER(SEARCH("蓝牙模块",H339)),1,0)+IF(ISNUMBER(SEARCH("语音识别模块",H339)),1,0)+IF(ISNUMBER(SEARCH("语音播报模块",H339)),1,0)+IF(ISNUMBER(SEARCH("RFID模块",H339)),1,0)+IF(ISNUMBER(SEARCH("RFID读卡模块",H339)),1,0)+IF(ISNUMBER(SEARCH("GPS定位模块",H339)),1,0)+IF(ISNUMBER(SEARCH("GSM通信模块",H339)),1,0)+IF(ISNUMBER(SEARCH("摄像头模块",H339)),1,0)+IF(ISNUMBER(SEARCH("人脸识别模块",H339)),1,0)+IF(ISNUMBER(SEARCH("手势识别传感器",H339)),1,0)))</f>
        <v>90</v>
      </c>
      <c r="M339" s="12">
        <f>计价规则!$B$4+计价规则!$B$5*IF(H339="",0,LEN(H339)-LEN(SUBSTITUTE(H339,"、",""))+1)</f>
        <v>110</v>
      </c>
      <c r="N339" s="12"/>
      <c r="O339" s="12">
        <f>计价规则!$B$6</f>
        <v>100</v>
      </c>
      <c r="P339" s="12">
        <f>计价规则!$B$6</f>
        <v>100</v>
      </c>
      <c r="Q339" s="12">
        <f>计价规则!$B$6</f>
        <v>100</v>
      </c>
      <c r="R339" s="12">
        <f>计价规则!$B$7</f>
        <v>400</v>
      </c>
      <c r="S339" s="8" t="s">
        <v>26</v>
      </c>
      <c r="T339" s="13">
        <v>338</v>
      </c>
    </row>
    <row r="340" ht="26" customHeight="1" spans="1:20">
      <c r="A340" s="8">
        <f t="shared" si="5"/>
        <v>339</v>
      </c>
      <c r="B340" s="8" t="s">
        <v>683</v>
      </c>
      <c r="C340" s="14" t="s">
        <v>959</v>
      </c>
      <c r="D340" s="10" t="s">
        <v>937</v>
      </c>
      <c r="E340" s="11" t="s">
        <v>283</v>
      </c>
      <c r="F340" s="11"/>
      <c r="G340" s="10" t="s">
        <v>131</v>
      </c>
      <c r="H340" s="10" t="s">
        <v>100</v>
      </c>
      <c r="I340" s="10"/>
      <c r="J340" s="10"/>
      <c r="K340" s="10" t="s">
        <v>101</v>
      </c>
      <c r="L340" s="12">
        <f>计价规则!$B$2+计价规则!$B$3*MAX(0,IF(H340="",0,LEN(H340)-LEN(SUBSTITUTE(H340,"、",""))+1)-(IF(ISNUMBER(SEARCH("WiFi通信模块",H340)),1,0)+IF(ISNUMBER(SEARCH("ESP8266 WiFi模块",H340)),1,0)+IF(ISNUMBER(SEARCH("NRF24L01无线通信模块",H340)),1,0)+IF(ISNUMBER(SEARCH("蓝牙模块",H340)),1,0)+IF(ISNUMBER(SEARCH("语音识别模块",H340)),1,0)+IF(ISNUMBER(SEARCH("语音播报模块",H340)),1,0)+IF(ISNUMBER(SEARCH("RFID模块",H340)),1,0)+IF(ISNUMBER(SEARCH("RFID读卡模块",H340)),1,0)+IF(ISNUMBER(SEARCH("GPS定位模块",H340)),1,0)+IF(ISNUMBER(SEARCH("GSM通信模块",H340)),1,0)+IF(ISNUMBER(SEARCH("摄像头模块",H340)),1,0)+IF(ISNUMBER(SEARCH("人脸识别模块",H340)),1,0)+IF(ISNUMBER(SEARCH("手势识别传感器",H340)),1,0)))</f>
        <v>90</v>
      </c>
      <c r="M340" s="12">
        <f>计价规则!$B$4+计价规则!$B$5*IF(H340="",0,LEN(H340)-LEN(SUBSTITUTE(H340,"、",""))+1)</f>
        <v>110</v>
      </c>
      <c r="N340" s="12"/>
      <c r="O340" s="12">
        <f>计价规则!$B$6</f>
        <v>100</v>
      </c>
      <c r="P340" s="12">
        <f>计价规则!$B$6</f>
        <v>100</v>
      </c>
      <c r="Q340" s="12">
        <f>计价规则!$B$6</f>
        <v>100</v>
      </c>
      <c r="R340" s="12">
        <f>计价规则!$B$7</f>
        <v>400</v>
      </c>
      <c r="S340" s="8" t="s">
        <v>26</v>
      </c>
      <c r="T340" s="13">
        <v>339</v>
      </c>
    </row>
    <row r="341" ht="26" customHeight="1" spans="1:20">
      <c r="A341" s="8">
        <f t="shared" si="5"/>
        <v>340</v>
      </c>
      <c r="B341" s="8" t="s">
        <v>683</v>
      </c>
      <c r="C341" s="14" t="s">
        <v>960</v>
      </c>
      <c r="D341" s="10" t="s">
        <v>939</v>
      </c>
      <c r="E341" s="11" t="s">
        <v>283</v>
      </c>
      <c r="F341" s="11"/>
      <c r="G341" s="10" t="s">
        <v>62</v>
      </c>
      <c r="H341" s="10" t="s">
        <v>862</v>
      </c>
      <c r="I341" s="10"/>
      <c r="J341" s="10"/>
      <c r="K341" s="10"/>
      <c r="L341" s="12">
        <f>计价规则!$B$2+计价规则!$B$3*MAX(0,IF(H341="",0,LEN(H341)-LEN(SUBSTITUTE(H341,"、",""))+1)-(IF(ISNUMBER(SEARCH("WiFi通信模块",H341)),1,0)+IF(ISNUMBER(SEARCH("ESP8266 WiFi模块",H341)),1,0)+IF(ISNUMBER(SEARCH("NRF24L01无线通信模块",H341)),1,0)+IF(ISNUMBER(SEARCH("蓝牙模块",H341)),1,0)+IF(ISNUMBER(SEARCH("语音识别模块",H341)),1,0)+IF(ISNUMBER(SEARCH("语音播报模块",H341)),1,0)+IF(ISNUMBER(SEARCH("RFID模块",H341)),1,0)+IF(ISNUMBER(SEARCH("RFID读卡模块",H341)),1,0)+IF(ISNUMBER(SEARCH("GPS定位模块",H341)),1,0)+IF(ISNUMBER(SEARCH("GSM通信模块",H341)),1,0)+IF(ISNUMBER(SEARCH("摄像头模块",H341)),1,0)+IF(ISNUMBER(SEARCH("人脸识别模块",H341)),1,0)+IF(ISNUMBER(SEARCH("手势识别传感器",H341)),1,0)))</f>
        <v>105</v>
      </c>
      <c r="M341" s="12">
        <f>计价规则!$B$4+计价规则!$B$5*IF(H341="",0,LEN(H341)-LEN(SUBSTITUTE(H341,"、",""))+1)</f>
        <v>110</v>
      </c>
      <c r="N341" s="12"/>
      <c r="O341" s="12">
        <f>计价规则!$B$6</f>
        <v>100</v>
      </c>
      <c r="P341" s="12">
        <f>计价规则!$B$6</f>
        <v>100</v>
      </c>
      <c r="Q341" s="12">
        <f>计价规则!$B$6</f>
        <v>100</v>
      </c>
      <c r="R341" s="12">
        <f>计价规则!$B$7</f>
        <v>400</v>
      </c>
      <c r="S341" s="8" t="s">
        <v>26</v>
      </c>
      <c r="T341" s="13">
        <v>340</v>
      </c>
    </row>
    <row r="342" ht="26" customHeight="1" spans="1:20">
      <c r="A342" s="8">
        <f t="shared" si="5"/>
        <v>341</v>
      </c>
      <c r="B342" s="8" t="s">
        <v>683</v>
      </c>
      <c r="C342" s="14" t="s">
        <v>961</v>
      </c>
      <c r="D342" s="10" t="s">
        <v>941</v>
      </c>
      <c r="E342" s="11" t="s">
        <v>283</v>
      </c>
      <c r="F342" s="11"/>
      <c r="G342" s="10" t="s">
        <v>942</v>
      </c>
      <c r="H342" s="10" t="s">
        <v>943</v>
      </c>
      <c r="I342" s="10"/>
      <c r="J342" s="10"/>
      <c r="K342" s="10" t="s">
        <v>120</v>
      </c>
      <c r="L342" s="12">
        <f>计价规则!$B$2+计价规则!$B$3*MAX(0,IF(H342="",0,LEN(H342)-LEN(SUBSTITUTE(H342,"、",""))+1)-(IF(ISNUMBER(SEARCH("WiFi通信模块",H342)),1,0)+IF(ISNUMBER(SEARCH("ESP8266 WiFi模块",H342)),1,0)+IF(ISNUMBER(SEARCH("NRF24L01无线通信模块",H342)),1,0)+IF(ISNUMBER(SEARCH("蓝牙模块",H342)),1,0)+IF(ISNUMBER(SEARCH("语音识别模块",H342)),1,0)+IF(ISNUMBER(SEARCH("语音播报模块",H342)),1,0)+IF(ISNUMBER(SEARCH("RFID模块",H342)),1,0)+IF(ISNUMBER(SEARCH("RFID读卡模块",H342)),1,0)+IF(ISNUMBER(SEARCH("GPS定位模块",H342)),1,0)+IF(ISNUMBER(SEARCH("GSM通信模块",H342)),1,0)+IF(ISNUMBER(SEARCH("摄像头模块",H342)),1,0)+IF(ISNUMBER(SEARCH("人脸识别模块",H342)),1,0)+IF(ISNUMBER(SEARCH("手势识别传感器",H342)),1,0)))</f>
        <v>75</v>
      </c>
      <c r="M342" s="12">
        <f>计价规则!$B$4+计价规则!$B$5*IF(H342="",0,LEN(H342)-LEN(SUBSTITUTE(H342,"、",""))+1)</f>
        <v>90</v>
      </c>
      <c r="N342" s="12"/>
      <c r="O342" s="12">
        <f>计价规则!$B$6</f>
        <v>100</v>
      </c>
      <c r="P342" s="12">
        <f>计价规则!$B$6</f>
        <v>100</v>
      </c>
      <c r="Q342" s="12">
        <f>计价规则!$B$6</f>
        <v>100</v>
      </c>
      <c r="R342" s="12">
        <f>计价规则!$B$7</f>
        <v>400</v>
      </c>
      <c r="S342" s="8" t="s">
        <v>26</v>
      </c>
      <c r="T342" s="13">
        <v>341</v>
      </c>
    </row>
    <row r="343" ht="26" customHeight="1" spans="1:20">
      <c r="A343" s="8">
        <f t="shared" si="5"/>
        <v>342</v>
      </c>
      <c r="B343" s="8" t="s">
        <v>683</v>
      </c>
      <c r="C343" s="14" t="s">
        <v>962</v>
      </c>
      <c r="D343" s="10" t="s">
        <v>945</v>
      </c>
      <c r="E343" s="11" t="s">
        <v>283</v>
      </c>
      <c r="F343" s="11"/>
      <c r="G343" s="10" t="s">
        <v>69</v>
      </c>
      <c r="H343" s="10" t="s">
        <v>127</v>
      </c>
      <c r="I343" s="10"/>
      <c r="J343" s="10"/>
      <c r="K343" s="10" t="s">
        <v>128</v>
      </c>
      <c r="L343" s="12">
        <f>计价规则!$B$2+计价规则!$B$3*MAX(0,IF(H343="",0,LEN(H343)-LEN(SUBSTITUTE(H343,"、",""))+1)-(IF(ISNUMBER(SEARCH("WiFi通信模块",H343)),1,0)+IF(ISNUMBER(SEARCH("ESP8266 WiFi模块",H343)),1,0)+IF(ISNUMBER(SEARCH("NRF24L01无线通信模块",H343)),1,0)+IF(ISNUMBER(SEARCH("蓝牙模块",H343)),1,0)+IF(ISNUMBER(SEARCH("语音识别模块",H343)),1,0)+IF(ISNUMBER(SEARCH("语音播报模块",H343)),1,0)+IF(ISNUMBER(SEARCH("RFID模块",H343)),1,0)+IF(ISNUMBER(SEARCH("RFID读卡模块",H343)),1,0)+IF(ISNUMBER(SEARCH("GPS定位模块",H343)),1,0)+IF(ISNUMBER(SEARCH("GSM通信模块",H343)),1,0)+IF(ISNUMBER(SEARCH("摄像头模块",H343)),1,0)+IF(ISNUMBER(SEARCH("人脸识别模块",H343)),1,0)+IF(ISNUMBER(SEARCH("手势识别传感器",H343)),1,0)))</f>
        <v>90</v>
      </c>
      <c r="M343" s="12">
        <f>计价规则!$B$4+计价规则!$B$5*IF(H343="",0,LEN(H343)-LEN(SUBSTITUTE(H343,"、",""))+1)</f>
        <v>110</v>
      </c>
      <c r="N343" s="12"/>
      <c r="O343" s="12">
        <f>计价规则!$B$6</f>
        <v>100</v>
      </c>
      <c r="P343" s="12">
        <f>计价规则!$B$6</f>
        <v>100</v>
      </c>
      <c r="Q343" s="12">
        <f>计价规则!$B$6</f>
        <v>100</v>
      </c>
      <c r="R343" s="12">
        <f>计价规则!$B$7</f>
        <v>400</v>
      </c>
      <c r="S343" s="8" t="s">
        <v>26</v>
      </c>
      <c r="T343" s="13">
        <v>342</v>
      </c>
    </row>
    <row r="344" ht="26" customHeight="1" spans="1:20">
      <c r="A344" s="8">
        <f t="shared" si="5"/>
        <v>343</v>
      </c>
      <c r="B344" s="8" t="s">
        <v>683</v>
      </c>
      <c r="C344" s="14" t="s">
        <v>963</v>
      </c>
      <c r="D344" s="10" t="s">
        <v>947</v>
      </c>
      <c r="E344" s="11" t="s">
        <v>283</v>
      </c>
      <c r="F344" s="11"/>
      <c r="G344" s="10" t="s">
        <v>24</v>
      </c>
      <c r="H344" s="10" t="s">
        <v>909</v>
      </c>
      <c r="I344" s="10"/>
      <c r="J344" s="10"/>
      <c r="K344" s="10"/>
      <c r="L344" s="12">
        <f>计价规则!$B$2+计价规则!$B$3*MAX(0,IF(H344="",0,LEN(H344)-LEN(SUBSTITUTE(H344,"、",""))+1)-(IF(ISNUMBER(SEARCH("WiFi通信模块",H344)),1,0)+IF(ISNUMBER(SEARCH("ESP8266 WiFi模块",H344)),1,0)+IF(ISNUMBER(SEARCH("NRF24L01无线通信模块",H344)),1,0)+IF(ISNUMBER(SEARCH("蓝牙模块",H344)),1,0)+IF(ISNUMBER(SEARCH("语音识别模块",H344)),1,0)+IF(ISNUMBER(SEARCH("语音播报模块",H344)),1,0)+IF(ISNUMBER(SEARCH("RFID模块",H344)),1,0)+IF(ISNUMBER(SEARCH("RFID读卡模块",H344)),1,0)+IF(ISNUMBER(SEARCH("GPS定位模块",H344)),1,0)+IF(ISNUMBER(SEARCH("GSM通信模块",H344)),1,0)+IF(ISNUMBER(SEARCH("摄像头模块",H344)),1,0)+IF(ISNUMBER(SEARCH("人脸识别模块",H344)),1,0)+IF(ISNUMBER(SEARCH("手势识别传感器",H344)),1,0)))</f>
        <v>90</v>
      </c>
      <c r="M344" s="12">
        <f>计价规则!$B$4+计价规则!$B$5*IF(H344="",0,LEN(H344)-LEN(SUBSTITUTE(H344,"、",""))+1)</f>
        <v>90</v>
      </c>
      <c r="N344" s="12"/>
      <c r="O344" s="12">
        <f>计价规则!$B$6</f>
        <v>100</v>
      </c>
      <c r="P344" s="12">
        <f>计价规则!$B$6</f>
        <v>100</v>
      </c>
      <c r="Q344" s="12">
        <f>计价规则!$B$6</f>
        <v>100</v>
      </c>
      <c r="R344" s="12">
        <f>计价规则!$B$7</f>
        <v>400</v>
      </c>
      <c r="S344" s="8" t="s">
        <v>26</v>
      </c>
      <c r="T344" s="13">
        <v>343</v>
      </c>
    </row>
    <row r="345" ht="26" customHeight="1" spans="1:20">
      <c r="A345" s="8">
        <f t="shared" si="5"/>
        <v>344</v>
      </c>
      <c r="B345" s="8" t="s">
        <v>683</v>
      </c>
      <c r="C345" s="14" t="s">
        <v>964</v>
      </c>
      <c r="D345" s="10" t="s">
        <v>949</v>
      </c>
      <c r="E345" s="11" t="s">
        <v>283</v>
      </c>
      <c r="F345" s="11"/>
      <c r="G345" s="10" t="s">
        <v>24</v>
      </c>
      <c r="H345" s="10" t="s">
        <v>950</v>
      </c>
      <c r="I345" s="10"/>
      <c r="J345" s="10"/>
      <c r="K345" s="10" t="s">
        <v>951</v>
      </c>
      <c r="L345" s="12">
        <f>计价规则!$B$2+计价规则!$B$3*MAX(0,IF(H345="",0,LEN(H345)-LEN(SUBSTITUTE(H345,"、",""))+1)-(IF(ISNUMBER(SEARCH("WiFi通信模块",H345)),1,0)+IF(ISNUMBER(SEARCH("ESP8266 WiFi模块",H345)),1,0)+IF(ISNUMBER(SEARCH("NRF24L01无线通信模块",H345)),1,0)+IF(ISNUMBER(SEARCH("蓝牙模块",H345)),1,0)+IF(ISNUMBER(SEARCH("语音识别模块",H345)),1,0)+IF(ISNUMBER(SEARCH("语音播报模块",H345)),1,0)+IF(ISNUMBER(SEARCH("RFID模块",H345)),1,0)+IF(ISNUMBER(SEARCH("RFID读卡模块",H345)),1,0)+IF(ISNUMBER(SEARCH("GPS定位模块",H345)),1,0)+IF(ISNUMBER(SEARCH("GSM通信模块",H345)),1,0)+IF(ISNUMBER(SEARCH("摄像头模块",H345)),1,0)+IF(ISNUMBER(SEARCH("人脸识别模块",H345)),1,0)+IF(ISNUMBER(SEARCH("手势识别传感器",H345)),1,0)))</f>
        <v>60</v>
      </c>
      <c r="M345" s="12">
        <f>计价规则!$B$4+计价规则!$B$5*IF(H345="",0,LEN(H345)-LEN(SUBSTITUTE(H345,"、",""))+1)</f>
        <v>90</v>
      </c>
      <c r="N345" s="12"/>
      <c r="O345" s="12">
        <f>计价规则!$B$6</f>
        <v>100</v>
      </c>
      <c r="P345" s="12">
        <f>计价规则!$B$6</f>
        <v>100</v>
      </c>
      <c r="Q345" s="12">
        <f>计价规则!$B$6</f>
        <v>100</v>
      </c>
      <c r="R345" s="12">
        <f>计价规则!$B$7</f>
        <v>400</v>
      </c>
      <c r="S345" s="8" t="s">
        <v>26</v>
      </c>
      <c r="T345" s="13">
        <v>344</v>
      </c>
    </row>
    <row r="346" ht="26" customHeight="1" spans="1:20">
      <c r="A346" s="8">
        <f t="shared" si="5"/>
        <v>345</v>
      </c>
      <c r="B346" s="8" t="s">
        <v>683</v>
      </c>
      <c r="C346" s="14" t="s">
        <v>965</v>
      </c>
      <c r="D346" s="10" t="s">
        <v>966</v>
      </c>
      <c r="E346" s="11" t="s">
        <v>283</v>
      </c>
      <c r="F346" s="11"/>
      <c r="G346" s="10" t="s">
        <v>967</v>
      </c>
      <c r="H346" s="10" t="s">
        <v>968</v>
      </c>
      <c r="I346" s="10"/>
      <c r="J346" s="10"/>
      <c r="K346" s="10" t="s">
        <v>120</v>
      </c>
      <c r="L346" s="12">
        <f>计价规则!$B$2+计价规则!$B$3*MAX(0,IF(H346="",0,LEN(H346)-LEN(SUBSTITUTE(H346,"、",""))+1)-(IF(ISNUMBER(SEARCH("WiFi通信模块",H346)),1,0)+IF(ISNUMBER(SEARCH("ESP8266 WiFi模块",H346)),1,0)+IF(ISNUMBER(SEARCH("NRF24L01无线通信模块",H346)),1,0)+IF(ISNUMBER(SEARCH("蓝牙模块",H346)),1,0)+IF(ISNUMBER(SEARCH("语音识别模块",H346)),1,0)+IF(ISNUMBER(SEARCH("语音播报模块",H346)),1,0)+IF(ISNUMBER(SEARCH("RFID模块",H346)),1,0)+IF(ISNUMBER(SEARCH("RFID读卡模块",H346)),1,0)+IF(ISNUMBER(SEARCH("GPS定位模块",H346)),1,0)+IF(ISNUMBER(SEARCH("GSM通信模块",H346)),1,0)+IF(ISNUMBER(SEARCH("摄像头模块",H346)),1,0)+IF(ISNUMBER(SEARCH("人脸识别模块",H346)),1,0)+IF(ISNUMBER(SEARCH("手势识别传感器",H346)),1,0)))</f>
        <v>75</v>
      </c>
      <c r="M346" s="12">
        <f>计价规则!$B$4+计价规则!$B$5*IF(H346="",0,LEN(H346)-LEN(SUBSTITUTE(H346,"、",""))+1)</f>
        <v>90</v>
      </c>
      <c r="N346" s="12"/>
      <c r="O346" s="12">
        <f>计价规则!$B$6</f>
        <v>100</v>
      </c>
      <c r="P346" s="12">
        <f>计价规则!$B$6</f>
        <v>100</v>
      </c>
      <c r="Q346" s="12">
        <f>计价规则!$B$6</f>
        <v>100</v>
      </c>
      <c r="R346" s="12">
        <f>计价规则!$B$7</f>
        <v>400</v>
      </c>
      <c r="S346" s="8" t="s">
        <v>26</v>
      </c>
      <c r="T346" s="13">
        <v>345</v>
      </c>
    </row>
    <row r="347" ht="26" customHeight="1" spans="1:20">
      <c r="A347" s="8">
        <f t="shared" si="5"/>
        <v>346</v>
      </c>
      <c r="B347" s="8" t="s">
        <v>683</v>
      </c>
      <c r="C347" s="14" t="s">
        <v>969</v>
      </c>
      <c r="D347" s="10" t="s">
        <v>970</v>
      </c>
      <c r="E347" s="11" t="s">
        <v>283</v>
      </c>
      <c r="F347" s="11"/>
      <c r="G347" s="10" t="s">
        <v>24</v>
      </c>
      <c r="H347" s="10" t="s">
        <v>971</v>
      </c>
      <c r="I347" s="10"/>
      <c r="J347" s="10"/>
      <c r="K347" s="10"/>
      <c r="L347" s="12">
        <f>计价规则!$B$2+计价规则!$B$3*MAX(0,IF(H347="",0,LEN(H347)-LEN(SUBSTITUTE(H347,"、",""))+1)-(IF(ISNUMBER(SEARCH("WiFi通信模块",H347)),1,0)+IF(ISNUMBER(SEARCH("ESP8266 WiFi模块",H347)),1,0)+IF(ISNUMBER(SEARCH("NRF24L01无线通信模块",H347)),1,0)+IF(ISNUMBER(SEARCH("蓝牙模块",H347)),1,0)+IF(ISNUMBER(SEARCH("语音识别模块",H347)),1,0)+IF(ISNUMBER(SEARCH("语音播报模块",H347)),1,0)+IF(ISNUMBER(SEARCH("RFID模块",H347)),1,0)+IF(ISNUMBER(SEARCH("RFID读卡模块",H347)),1,0)+IF(ISNUMBER(SEARCH("GPS定位模块",H347)),1,0)+IF(ISNUMBER(SEARCH("GSM通信模块",H347)),1,0)+IF(ISNUMBER(SEARCH("摄像头模块",H347)),1,0)+IF(ISNUMBER(SEARCH("人脸识别模块",H347)),1,0)+IF(ISNUMBER(SEARCH("手势识别传感器",H347)),1,0)))</f>
        <v>105</v>
      </c>
      <c r="M347" s="12">
        <f>计价规则!$B$4+计价规则!$B$5*IF(H347="",0,LEN(H347)-LEN(SUBSTITUTE(H347,"、",""))+1)</f>
        <v>110</v>
      </c>
      <c r="N347" s="12"/>
      <c r="O347" s="12">
        <f>计价规则!$B$6</f>
        <v>100</v>
      </c>
      <c r="P347" s="12">
        <f>计价规则!$B$6</f>
        <v>100</v>
      </c>
      <c r="Q347" s="12">
        <f>计价规则!$B$6</f>
        <v>100</v>
      </c>
      <c r="R347" s="12">
        <f>计价规则!$B$7</f>
        <v>400</v>
      </c>
      <c r="S347" s="8" t="s">
        <v>26</v>
      </c>
      <c r="T347" s="13">
        <v>346</v>
      </c>
    </row>
    <row r="348" ht="26" customHeight="1" spans="1:20">
      <c r="A348" s="8">
        <f t="shared" si="5"/>
        <v>347</v>
      </c>
      <c r="B348" s="8" t="s">
        <v>683</v>
      </c>
      <c r="C348" s="14" t="s">
        <v>972</v>
      </c>
      <c r="D348" s="10" t="s">
        <v>973</v>
      </c>
      <c r="E348" s="11" t="s">
        <v>283</v>
      </c>
      <c r="F348" s="11"/>
      <c r="G348" s="10" t="s">
        <v>146</v>
      </c>
      <c r="H348" s="10" t="s">
        <v>974</v>
      </c>
      <c r="I348" s="10"/>
      <c r="J348" s="10"/>
      <c r="K348" s="10"/>
      <c r="L348" s="12">
        <f>计价规则!$B$2+计价规则!$B$3*MAX(0,IF(H348="",0,LEN(H348)-LEN(SUBSTITUTE(H348,"、",""))+1)-(IF(ISNUMBER(SEARCH("WiFi通信模块",H348)),1,0)+IF(ISNUMBER(SEARCH("ESP8266 WiFi模块",H348)),1,0)+IF(ISNUMBER(SEARCH("NRF24L01无线通信模块",H348)),1,0)+IF(ISNUMBER(SEARCH("蓝牙模块",H348)),1,0)+IF(ISNUMBER(SEARCH("语音识别模块",H348)),1,0)+IF(ISNUMBER(SEARCH("语音播报模块",H348)),1,0)+IF(ISNUMBER(SEARCH("RFID模块",H348)),1,0)+IF(ISNUMBER(SEARCH("RFID读卡模块",H348)),1,0)+IF(ISNUMBER(SEARCH("GPS定位模块",H348)),1,0)+IF(ISNUMBER(SEARCH("GSM通信模块",H348)),1,0)+IF(ISNUMBER(SEARCH("摄像头模块",H348)),1,0)+IF(ISNUMBER(SEARCH("人脸识别模块",H348)),1,0)+IF(ISNUMBER(SEARCH("手势识别传感器",H348)),1,0)))</f>
        <v>90</v>
      </c>
      <c r="M348" s="12">
        <f>计价规则!$B$4+计价规则!$B$5*IF(H348="",0,LEN(H348)-LEN(SUBSTITUTE(H348,"、",""))+1)</f>
        <v>90</v>
      </c>
      <c r="N348" s="12"/>
      <c r="O348" s="12">
        <f>计价规则!$B$6</f>
        <v>100</v>
      </c>
      <c r="P348" s="12">
        <f>计价规则!$B$6</f>
        <v>100</v>
      </c>
      <c r="Q348" s="12">
        <f>计价规则!$B$6</f>
        <v>100</v>
      </c>
      <c r="R348" s="12">
        <f>计价规则!$B$7</f>
        <v>400</v>
      </c>
      <c r="S348" s="8" t="s">
        <v>26</v>
      </c>
      <c r="T348" s="13">
        <v>347</v>
      </c>
    </row>
    <row r="349" ht="26" customHeight="1" spans="1:20">
      <c r="A349" s="8">
        <f t="shared" si="5"/>
        <v>348</v>
      </c>
      <c r="B349" s="8" t="s">
        <v>683</v>
      </c>
      <c r="C349" s="14" t="s">
        <v>975</v>
      </c>
      <c r="D349" s="10" t="s">
        <v>976</v>
      </c>
      <c r="E349" s="11" t="s">
        <v>283</v>
      </c>
      <c r="F349" s="11"/>
      <c r="G349" s="10" t="s">
        <v>967</v>
      </c>
      <c r="H349" s="10" t="s">
        <v>977</v>
      </c>
      <c r="I349" s="10"/>
      <c r="J349" s="10"/>
      <c r="K349" s="10" t="s">
        <v>120</v>
      </c>
      <c r="L349" s="12">
        <f>计价规则!$B$2+计价规则!$B$3*MAX(0,IF(H349="",0,LEN(H349)-LEN(SUBSTITUTE(H349,"、",""))+1)-(IF(ISNUMBER(SEARCH("WiFi通信模块",H349)),1,0)+IF(ISNUMBER(SEARCH("ESP8266 WiFi模块",H349)),1,0)+IF(ISNUMBER(SEARCH("NRF24L01无线通信模块",H349)),1,0)+IF(ISNUMBER(SEARCH("蓝牙模块",H349)),1,0)+IF(ISNUMBER(SEARCH("语音识别模块",H349)),1,0)+IF(ISNUMBER(SEARCH("语音播报模块",H349)),1,0)+IF(ISNUMBER(SEARCH("RFID模块",H349)),1,0)+IF(ISNUMBER(SEARCH("RFID读卡模块",H349)),1,0)+IF(ISNUMBER(SEARCH("GPS定位模块",H349)),1,0)+IF(ISNUMBER(SEARCH("GSM通信模块",H349)),1,0)+IF(ISNUMBER(SEARCH("摄像头模块",H349)),1,0)+IF(ISNUMBER(SEARCH("人脸识别模块",H349)),1,0)+IF(ISNUMBER(SEARCH("手势识别传感器",H349)),1,0)))</f>
        <v>105</v>
      </c>
      <c r="M349" s="12">
        <f>计价规则!$B$4+计价规则!$B$5*IF(H349="",0,LEN(H349)-LEN(SUBSTITUTE(H349,"、",""))+1)</f>
        <v>130</v>
      </c>
      <c r="N349" s="12"/>
      <c r="O349" s="12">
        <f>计价规则!$B$6</f>
        <v>100</v>
      </c>
      <c r="P349" s="12">
        <f>计价规则!$B$6</f>
        <v>100</v>
      </c>
      <c r="Q349" s="12">
        <f>计价规则!$B$6</f>
        <v>100</v>
      </c>
      <c r="R349" s="12">
        <f>计价规则!$B$7</f>
        <v>400</v>
      </c>
      <c r="S349" s="8" t="s">
        <v>26</v>
      </c>
      <c r="T349" s="13">
        <v>348</v>
      </c>
    </row>
    <row r="350" ht="26" customHeight="1" spans="1:20">
      <c r="A350" s="8">
        <f t="shared" si="5"/>
        <v>349</v>
      </c>
      <c r="B350" s="8" t="s">
        <v>683</v>
      </c>
      <c r="C350" s="14" t="s">
        <v>978</v>
      </c>
      <c r="D350" s="10" t="s">
        <v>979</v>
      </c>
      <c r="E350" s="11" t="s">
        <v>283</v>
      </c>
      <c r="F350" s="11"/>
      <c r="G350" s="10" t="s">
        <v>62</v>
      </c>
      <c r="H350" s="10" t="s">
        <v>980</v>
      </c>
      <c r="I350" s="10"/>
      <c r="J350" s="10"/>
      <c r="K350" s="10" t="s">
        <v>981</v>
      </c>
      <c r="L350" s="12">
        <f>计价规则!$B$2+计价规则!$B$3*MAX(0,IF(H350="",0,LEN(H350)-LEN(SUBSTITUTE(H350,"、",""))+1)-(IF(ISNUMBER(SEARCH("WiFi通信模块",H350)),1,0)+IF(ISNUMBER(SEARCH("ESP8266 WiFi模块",H350)),1,0)+IF(ISNUMBER(SEARCH("NRF24L01无线通信模块",H350)),1,0)+IF(ISNUMBER(SEARCH("蓝牙模块",H350)),1,0)+IF(ISNUMBER(SEARCH("语音识别模块",H350)),1,0)+IF(ISNUMBER(SEARCH("语音播报模块",H350)),1,0)+IF(ISNUMBER(SEARCH("RFID模块",H350)),1,0)+IF(ISNUMBER(SEARCH("RFID读卡模块",H350)),1,0)+IF(ISNUMBER(SEARCH("GPS定位模块",H350)),1,0)+IF(ISNUMBER(SEARCH("GSM通信模块",H350)),1,0)+IF(ISNUMBER(SEARCH("摄像头模块",H350)),1,0)+IF(ISNUMBER(SEARCH("人脸识别模块",H350)),1,0)+IF(ISNUMBER(SEARCH("手势识别传感器",H350)),1,0)))</f>
        <v>75</v>
      </c>
      <c r="M350" s="12">
        <f>计价规则!$B$4+计价规则!$B$5*IF(H350="",0,LEN(H350)-LEN(SUBSTITUTE(H350,"、",""))+1)</f>
        <v>110</v>
      </c>
      <c r="N350" s="12"/>
      <c r="O350" s="12">
        <f>计价规则!$B$6</f>
        <v>100</v>
      </c>
      <c r="P350" s="12">
        <f>计价规则!$B$6</f>
        <v>100</v>
      </c>
      <c r="Q350" s="12">
        <f>计价规则!$B$6</f>
        <v>100</v>
      </c>
      <c r="R350" s="12">
        <f>计价规则!$B$7</f>
        <v>400</v>
      </c>
      <c r="S350" s="8" t="s">
        <v>167</v>
      </c>
      <c r="T350" s="13">
        <v>349</v>
      </c>
    </row>
    <row r="351" ht="26" customHeight="1" spans="1:20">
      <c r="A351" s="8">
        <f t="shared" si="5"/>
        <v>350</v>
      </c>
      <c r="B351" s="8" t="s">
        <v>683</v>
      </c>
      <c r="C351" s="14" t="s">
        <v>982</v>
      </c>
      <c r="D351" s="10" t="s">
        <v>983</v>
      </c>
      <c r="E351" s="11" t="s">
        <v>23</v>
      </c>
      <c r="F351" s="11"/>
      <c r="G351" s="10" t="s">
        <v>81</v>
      </c>
      <c r="H351" s="10" t="s">
        <v>478</v>
      </c>
      <c r="I351" s="10"/>
      <c r="J351" s="10"/>
      <c r="K351" s="10"/>
      <c r="L351" s="12">
        <f>计价规则!$B$2+计价规则!$B$3*MAX(0,IF(H351="",0,LEN(H351)-LEN(SUBSTITUTE(H351,"、",""))+1)-(IF(ISNUMBER(SEARCH("WiFi通信模块",H351)),1,0)+IF(ISNUMBER(SEARCH("ESP8266 WiFi模块",H351)),1,0)+IF(ISNUMBER(SEARCH("NRF24L01无线通信模块",H351)),1,0)+IF(ISNUMBER(SEARCH("蓝牙模块",H351)),1,0)+IF(ISNUMBER(SEARCH("语音识别模块",H351)),1,0)+IF(ISNUMBER(SEARCH("语音播报模块",H351)),1,0)+IF(ISNUMBER(SEARCH("RFID模块",H351)),1,0)+IF(ISNUMBER(SEARCH("RFID读卡模块",H351)),1,0)+IF(ISNUMBER(SEARCH("GPS定位模块",H351)),1,0)+IF(ISNUMBER(SEARCH("GSM通信模块",H351)),1,0)+IF(ISNUMBER(SEARCH("摄像头模块",H351)),1,0)+IF(ISNUMBER(SEARCH("人脸识别模块",H351)),1,0)+IF(ISNUMBER(SEARCH("手势识别传感器",H351)),1,0)))</f>
        <v>90</v>
      </c>
      <c r="M351" s="12">
        <f>计价规则!$B$4+计价规则!$B$5*IF(H351="",0,LEN(H351)-LEN(SUBSTITUTE(H351,"、",""))+1)</f>
        <v>90</v>
      </c>
      <c r="N351" s="12"/>
      <c r="O351" s="12">
        <f>计价规则!$B$6</f>
        <v>100</v>
      </c>
      <c r="P351" s="12">
        <f>计价规则!$B$6</f>
        <v>100</v>
      </c>
      <c r="Q351" s="12">
        <f>计价规则!$B$6</f>
        <v>100</v>
      </c>
      <c r="R351" s="12">
        <f>计价规则!$B$7</f>
        <v>400</v>
      </c>
      <c r="S351" s="8" t="s">
        <v>26</v>
      </c>
      <c r="T351" s="13">
        <v>350</v>
      </c>
    </row>
    <row r="352" ht="26" customHeight="1" spans="1:20">
      <c r="A352" s="8">
        <f t="shared" si="5"/>
        <v>351</v>
      </c>
      <c r="B352" s="8" t="s">
        <v>683</v>
      </c>
      <c r="C352" s="14" t="s">
        <v>984</v>
      </c>
      <c r="D352" s="10" t="s">
        <v>985</v>
      </c>
      <c r="E352" s="11" t="s">
        <v>283</v>
      </c>
      <c r="F352" s="11"/>
      <c r="G352" s="10" t="s">
        <v>62</v>
      </c>
      <c r="H352" s="10" t="s">
        <v>986</v>
      </c>
      <c r="I352" s="10"/>
      <c r="J352" s="10"/>
      <c r="K352" s="10"/>
      <c r="L352" s="12">
        <f>计价规则!$B$2+计价规则!$B$3*MAX(0,IF(H352="",0,LEN(H352)-LEN(SUBSTITUTE(H352,"、",""))+1)-(IF(ISNUMBER(SEARCH("WiFi通信模块",H352)),1,0)+IF(ISNUMBER(SEARCH("ESP8266 WiFi模块",H352)),1,0)+IF(ISNUMBER(SEARCH("NRF24L01无线通信模块",H352)),1,0)+IF(ISNUMBER(SEARCH("蓝牙模块",H352)),1,0)+IF(ISNUMBER(SEARCH("语音识别模块",H352)),1,0)+IF(ISNUMBER(SEARCH("语音播报模块",H352)),1,0)+IF(ISNUMBER(SEARCH("RFID模块",H352)),1,0)+IF(ISNUMBER(SEARCH("RFID读卡模块",H352)),1,0)+IF(ISNUMBER(SEARCH("GPS定位模块",H352)),1,0)+IF(ISNUMBER(SEARCH("GSM通信模块",H352)),1,0)+IF(ISNUMBER(SEARCH("摄像头模块",H352)),1,0)+IF(ISNUMBER(SEARCH("人脸识别模块",H352)),1,0)+IF(ISNUMBER(SEARCH("手势识别传感器",H352)),1,0)))</f>
        <v>105</v>
      </c>
      <c r="M352" s="12">
        <f>计价规则!$B$4+计价规则!$B$5*IF(H352="",0,LEN(H352)-LEN(SUBSTITUTE(H352,"、",""))+1)</f>
        <v>110</v>
      </c>
      <c r="N352" s="12"/>
      <c r="O352" s="12">
        <f>计价规则!$B$6</f>
        <v>100</v>
      </c>
      <c r="P352" s="12">
        <f>计价规则!$B$6</f>
        <v>100</v>
      </c>
      <c r="Q352" s="12">
        <f>计价规则!$B$6</f>
        <v>100</v>
      </c>
      <c r="R352" s="12">
        <f>计价规则!$B$7</f>
        <v>400</v>
      </c>
      <c r="S352" s="8" t="s">
        <v>26</v>
      </c>
      <c r="T352" s="13">
        <v>351</v>
      </c>
    </row>
    <row r="353" ht="26" customHeight="1" spans="1:20">
      <c r="A353" s="8">
        <f t="shared" si="5"/>
        <v>352</v>
      </c>
      <c r="B353" s="8" t="s">
        <v>683</v>
      </c>
      <c r="C353" s="14" t="s">
        <v>987</v>
      </c>
      <c r="D353" s="10" t="s">
        <v>988</v>
      </c>
      <c r="E353" s="11" t="s">
        <v>283</v>
      </c>
      <c r="F353" s="11"/>
      <c r="G353" s="10" t="s">
        <v>24</v>
      </c>
      <c r="H353" s="10" t="s">
        <v>989</v>
      </c>
      <c r="I353" s="10"/>
      <c r="J353" s="10"/>
      <c r="K353" s="10" t="s">
        <v>128</v>
      </c>
      <c r="L353" s="12">
        <f>计价规则!$B$2+计价规则!$B$3*MAX(0,IF(H353="",0,LEN(H353)-LEN(SUBSTITUTE(H353,"、",""))+1)-(IF(ISNUMBER(SEARCH("WiFi通信模块",H353)),1,0)+IF(ISNUMBER(SEARCH("ESP8266 WiFi模块",H353)),1,0)+IF(ISNUMBER(SEARCH("NRF24L01无线通信模块",H353)),1,0)+IF(ISNUMBER(SEARCH("蓝牙模块",H353)),1,0)+IF(ISNUMBER(SEARCH("语音识别模块",H353)),1,0)+IF(ISNUMBER(SEARCH("语音播报模块",H353)),1,0)+IF(ISNUMBER(SEARCH("RFID模块",H353)),1,0)+IF(ISNUMBER(SEARCH("RFID读卡模块",H353)),1,0)+IF(ISNUMBER(SEARCH("GPS定位模块",H353)),1,0)+IF(ISNUMBER(SEARCH("GSM通信模块",H353)),1,0)+IF(ISNUMBER(SEARCH("摄像头模块",H353)),1,0)+IF(ISNUMBER(SEARCH("人脸识别模块",H353)),1,0)+IF(ISNUMBER(SEARCH("手势识别传感器",H353)),1,0)))</f>
        <v>105</v>
      </c>
      <c r="M353" s="12">
        <f>计价规则!$B$4+计价规则!$B$5*IF(H353="",0,LEN(H353)-LEN(SUBSTITUTE(H353,"、",""))+1)</f>
        <v>130</v>
      </c>
      <c r="N353" s="12"/>
      <c r="O353" s="12">
        <f>计价规则!$B$6</f>
        <v>100</v>
      </c>
      <c r="P353" s="12">
        <f>计价规则!$B$6</f>
        <v>100</v>
      </c>
      <c r="Q353" s="12">
        <f>计价规则!$B$6</f>
        <v>100</v>
      </c>
      <c r="R353" s="12">
        <f>计价规则!$B$7</f>
        <v>400</v>
      </c>
      <c r="S353" s="8" t="s">
        <v>26</v>
      </c>
      <c r="T353" s="13">
        <v>352</v>
      </c>
    </row>
    <row r="354" ht="26" customHeight="1" spans="1:20">
      <c r="A354" s="8">
        <f t="shared" si="5"/>
        <v>353</v>
      </c>
      <c r="B354" s="8" t="s">
        <v>683</v>
      </c>
      <c r="C354" s="14" t="s">
        <v>990</v>
      </c>
      <c r="D354" s="10" t="s">
        <v>991</v>
      </c>
      <c r="E354" s="11" t="s">
        <v>283</v>
      </c>
      <c r="F354" s="11"/>
      <c r="G354" s="10" t="s">
        <v>69</v>
      </c>
      <c r="H354" s="10" t="s">
        <v>992</v>
      </c>
      <c r="I354" s="10"/>
      <c r="J354" s="10"/>
      <c r="K354" s="10"/>
      <c r="L354" s="12">
        <f>计价规则!$B$2+计价规则!$B$3*MAX(0,IF(H354="",0,LEN(H354)-LEN(SUBSTITUTE(H354,"、",""))+1)-(IF(ISNUMBER(SEARCH("WiFi通信模块",H354)),1,0)+IF(ISNUMBER(SEARCH("ESP8266 WiFi模块",H354)),1,0)+IF(ISNUMBER(SEARCH("NRF24L01无线通信模块",H354)),1,0)+IF(ISNUMBER(SEARCH("蓝牙模块",H354)),1,0)+IF(ISNUMBER(SEARCH("语音识别模块",H354)),1,0)+IF(ISNUMBER(SEARCH("语音播报模块",H354)),1,0)+IF(ISNUMBER(SEARCH("RFID模块",H354)),1,0)+IF(ISNUMBER(SEARCH("RFID读卡模块",H354)),1,0)+IF(ISNUMBER(SEARCH("GPS定位模块",H354)),1,0)+IF(ISNUMBER(SEARCH("GSM通信模块",H354)),1,0)+IF(ISNUMBER(SEARCH("摄像头模块",H354)),1,0)+IF(ISNUMBER(SEARCH("人脸识别模块",H354)),1,0)+IF(ISNUMBER(SEARCH("手势识别传感器",H354)),1,0)))</f>
        <v>105</v>
      </c>
      <c r="M354" s="12">
        <f>计价规则!$B$4+计价规则!$B$5*IF(H354="",0,LEN(H354)-LEN(SUBSTITUTE(H354,"、",""))+1)</f>
        <v>110</v>
      </c>
      <c r="N354" s="12"/>
      <c r="O354" s="12">
        <f>计价规则!$B$6</f>
        <v>100</v>
      </c>
      <c r="P354" s="12">
        <f>计价规则!$B$6</f>
        <v>100</v>
      </c>
      <c r="Q354" s="12">
        <f>计价规则!$B$6</f>
        <v>100</v>
      </c>
      <c r="R354" s="12">
        <f>计价规则!$B$7</f>
        <v>400</v>
      </c>
      <c r="S354" s="8" t="s">
        <v>26</v>
      </c>
      <c r="T354" s="13">
        <v>353</v>
      </c>
    </row>
    <row r="355" ht="26" customHeight="1" spans="1:20">
      <c r="A355" s="8">
        <f t="shared" si="5"/>
        <v>354</v>
      </c>
      <c r="B355" s="8" t="s">
        <v>683</v>
      </c>
      <c r="C355" s="14" t="s">
        <v>993</v>
      </c>
      <c r="D355" s="10" t="s">
        <v>994</v>
      </c>
      <c r="E355" s="11" t="s">
        <v>283</v>
      </c>
      <c r="F355" s="11"/>
      <c r="G355" s="10" t="s">
        <v>24</v>
      </c>
      <c r="H355" s="10" t="s">
        <v>995</v>
      </c>
      <c r="I355" s="10"/>
      <c r="J355" s="10"/>
      <c r="K355" s="10"/>
      <c r="L355" s="12">
        <f>计价规则!$B$2+计价规则!$B$3*MAX(0,IF(H355="",0,LEN(H355)-LEN(SUBSTITUTE(H355,"、",""))+1)-(IF(ISNUMBER(SEARCH("WiFi通信模块",H355)),1,0)+IF(ISNUMBER(SEARCH("ESP8266 WiFi模块",H355)),1,0)+IF(ISNUMBER(SEARCH("NRF24L01无线通信模块",H355)),1,0)+IF(ISNUMBER(SEARCH("蓝牙模块",H355)),1,0)+IF(ISNUMBER(SEARCH("语音识别模块",H355)),1,0)+IF(ISNUMBER(SEARCH("语音播报模块",H355)),1,0)+IF(ISNUMBER(SEARCH("RFID模块",H355)),1,0)+IF(ISNUMBER(SEARCH("RFID读卡模块",H355)),1,0)+IF(ISNUMBER(SEARCH("GPS定位模块",H355)),1,0)+IF(ISNUMBER(SEARCH("GSM通信模块",H355)),1,0)+IF(ISNUMBER(SEARCH("摄像头模块",H355)),1,0)+IF(ISNUMBER(SEARCH("人脸识别模块",H355)),1,0)+IF(ISNUMBER(SEARCH("手势识别传感器",H355)),1,0)))</f>
        <v>105</v>
      </c>
      <c r="M355" s="12">
        <f>计价规则!$B$4+计价规则!$B$5*IF(H355="",0,LEN(H355)-LEN(SUBSTITUTE(H355,"、",""))+1)</f>
        <v>110</v>
      </c>
      <c r="N355" s="12"/>
      <c r="O355" s="12">
        <f>计价规则!$B$6</f>
        <v>100</v>
      </c>
      <c r="P355" s="12">
        <f>计价规则!$B$6</f>
        <v>100</v>
      </c>
      <c r="Q355" s="12">
        <f>计价规则!$B$6</f>
        <v>100</v>
      </c>
      <c r="R355" s="12">
        <f>计价规则!$B$7</f>
        <v>400</v>
      </c>
      <c r="S355" s="8" t="s">
        <v>167</v>
      </c>
      <c r="T355" s="13">
        <v>354</v>
      </c>
    </row>
    <row r="356" ht="26" customHeight="1" spans="1:20">
      <c r="A356" s="8">
        <f t="shared" si="5"/>
        <v>355</v>
      </c>
      <c r="B356" s="8" t="s">
        <v>683</v>
      </c>
      <c r="C356" s="14" t="s">
        <v>996</v>
      </c>
      <c r="D356" s="10" t="s">
        <v>997</v>
      </c>
      <c r="E356" s="11" t="s">
        <v>998</v>
      </c>
      <c r="F356" s="11"/>
      <c r="G356" s="10" t="s">
        <v>81</v>
      </c>
      <c r="H356" s="10" t="s">
        <v>999</v>
      </c>
      <c r="I356" s="10"/>
      <c r="J356" s="10"/>
      <c r="K356" s="10"/>
      <c r="L356" s="12">
        <f>计价规则!$B$2+计价规则!$B$3*MAX(0,IF(H356="",0,LEN(H356)-LEN(SUBSTITUTE(H356,"、",""))+1)-(IF(ISNUMBER(SEARCH("WiFi通信模块",H356)),1,0)+IF(ISNUMBER(SEARCH("ESP8266 WiFi模块",H356)),1,0)+IF(ISNUMBER(SEARCH("NRF24L01无线通信模块",H356)),1,0)+IF(ISNUMBER(SEARCH("蓝牙模块",H356)),1,0)+IF(ISNUMBER(SEARCH("语音识别模块",H356)),1,0)+IF(ISNUMBER(SEARCH("语音播报模块",H356)),1,0)+IF(ISNUMBER(SEARCH("RFID模块",H356)),1,0)+IF(ISNUMBER(SEARCH("RFID读卡模块",H356)),1,0)+IF(ISNUMBER(SEARCH("GPS定位模块",H356)),1,0)+IF(ISNUMBER(SEARCH("GSM通信模块",H356)),1,0)+IF(ISNUMBER(SEARCH("摄像头模块",H356)),1,0)+IF(ISNUMBER(SEARCH("人脸识别模块",H356)),1,0)+IF(ISNUMBER(SEARCH("手势识别传感器",H356)),1,0)))</f>
        <v>105</v>
      </c>
      <c r="M356" s="12">
        <f>计价规则!$B$4+计价规则!$B$5*IF(H356="",0,LEN(H356)-LEN(SUBSTITUTE(H356,"、",""))+1)</f>
        <v>110</v>
      </c>
      <c r="N356" s="12"/>
      <c r="O356" s="12">
        <f>计价规则!$B$6</f>
        <v>100</v>
      </c>
      <c r="P356" s="12">
        <f>计价规则!$B$6</f>
        <v>100</v>
      </c>
      <c r="Q356" s="12">
        <f>计价规则!$B$6</f>
        <v>100</v>
      </c>
      <c r="R356" s="12">
        <f>计价规则!$B$7</f>
        <v>400</v>
      </c>
      <c r="S356" s="8" t="s">
        <v>26</v>
      </c>
      <c r="T356" s="13">
        <v>355</v>
      </c>
    </row>
    <row r="357" ht="26" customHeight="1" spans="1:20">
      <c r="A357" s="8">
        <f t="shared" si="5"/>
        <v>356</v>
      </c>
      <c r="B357" s="8" t="s">
        <v>683</v>
      </c>
      <c r="C357" s="14" t="s">
        <v>1000</v>
      </c>
      <c r="D357" s="10" t="s">
        <v>1001</v>
      </c>
      <c r="E357" s="11" t="s">
        <v>283</v>
      </c>
      <c r="F357" s="11"/>
      <c r="G357" s="10" t="s">
        <v>185</v>
      </c>
      <c r="H357" s="10" t="s">
        <v>1002</v>
      </c>
      <c r="I357" s="10"/>
      <c r="J357" s="10"/>
      <c r="K357" s="10"/>
      <c r="L357" s="12">
        <f>计价规则!$B$2+计价规则!$B$3*MAX(0,IF(H357="",0,LEN(H357)-LEN(SUBSTITUTE(H357,"、",""))+1)-(IF(ISNUMBER(SEARCH("WiFi通信模块",H357)),1,0)+IF(ISNUMBER(SEARCH("ESP8266 WiFi模块",H357)),1,0)+IF(ISNUMBER(SEARCH("NRF24L01无线通信模块",H357)),1,0)+IF(ISNUMBER(SEARCH("蓝牙模块",H357)),1,0)+IF(ISNUMBER(SEARCH("语音识别模块",H357)),1,0)+IF(ISNUMBER(SEARCH("语音播报模块",H357)),1,0)+IF(ISNUMBER(SEARCH("RFID模块",H357)),1,0)+IF(ISNUMBER(SEARCH("RFID读卡模块",H357)),1,0)+IF(ISNUMBER(SEARCH("GPS定位模块",H357)),1,0)+IF(ISNUMBER(SEARCH("GSM通信模块",H357)),1,0)+IF(ISNUMBER(SEARCH("摄像头模块",H357)),1,0)+IF(ISNUMBER(SEARCH("人脸识别模块",H357)),1,0)+IF(ISNUMBER(SEARCH("手势识别传感器",H357)),1,0)))</f>
        <v>105</v>
      </c>
      <c r="M357" s="12">
        <f>计价规则!$B$4+计价规则!$B$5*IF(H357="",0,LEN(H357)-LEN(SUBSTITUTE(H357,"、",""))+1)</f>
        <v>110</v>
      </c>
      <c r="N357" s="12"/>
      <c r="O357" s="12">
        <f>计价规则!$B$6</f>
        <v>100</v>
      </c>
      <c r="P357" s="12">
        <f>计价规则!$B$6</f>
        <v>100</v>
      </c>
      <c r="Q357" s="12">
        <f>计价规则!$B$6</f>
        <v>100</v>
      </c>
      <c r="R357" s="12">
        <f>计价规则!$B$7</f>
        <v>400</v>
      </c>
      <c r="S357" s="8" t="s">
        <v>26</v>
      </c>
      <c r="T357" s="13">
        <v>356</v>
      </c>
    </row>
    <row r="358" ht="26" customHeight="1" spans="1:20">
      <c r="A358" s="8">
        <f t="shared" si="5"/>
        <v>357</v>
      </c>
      <c r="B358" s="8" t="s">
        <v>683</v>
      </c>
      <c r="C358" s="14" t="s">
        <v>1003</v>
      </c>
      <c r="D358" s="10" t="s">
        <v>1004</v>
      </c>
      <c r="E358" s="11" t="s">
        <v>283</v>
      </c>
      <c r="F358" s="11"/>
      <c r="G358" s="10" t="s">
        <v>24</v>
      </c>
      <c r="H358" s="10" t="s">
        <v>606</v>
      </c>
      <c r="I358" s="10"/>
      <c r="J358" s="10"/>
      <c r="K358" s="10"/>
      <c r="L358" s="12">
        <f>计价规则!$B$2+计价规则!$B$3*MAX(0,IF(H358="",0,LEN(H358)-LEN(SUBSTITUTE(H358,"、",""))+1)-(IF(ISNUMBER(SEARCH("WiFi通信模块",H358)),1,0)+IF(ISNUMBER(SEARCH("ESP8266 WiFi模块",H358)),1,0)+IF(ISNUMBER(SEARCH("NRF24L01无线通信模块",H358)),1,0)+IF(ISNUMBER(SEARCH("蓝牙模块",H358)),1,0)+IF(ISNUMBER(SEARCH("语音识别模块",H358)),1,0)+IF(ISNUMBER(SEARCH("语音播报模块",H358)),1,0)+IF(ISNUMBER(SEARCH("RFID模块",H358)),1,0)+IF(ISNUMBER(SEARCH("RFID读卡模块",H358)),1,0)+IF(ISNUMBER(SEARCH("GPS定位模块",H358)),1,0)+IF(ISNUMBER(SEARCH("GSM通信模块",H358)),1,0)+IF(ISNUMBER(SEARCH("摄像头模块",H358)),1,0)+IF(ISNUMBER(SEARCH("人脸识别模块",H358)),1,0)+IF(ISNUMBER(SEARCH("手势识别传感器",H358)),1,0)))</f>
        <v>120</v>
      </c>
      <c r="M358" s="12">
        <f>计价规则!$B$4+计价规则!$B$5*IF(H358="",0,LEN(H358)-LEN(SUBSTITUTE(H358,"、",""))+1)</f>
        <v>130</v>
      </c>
      <c r="N358" s="12"/>
      <c r="O358" s="12">
        <f>计价规则!$B$6</f>
        <v>100</v>
      </c>
      <c r="P358" s="12">
        <f>计价规则!$B$6</f>
        <v>100</v>
      </c>
      <c r="Q358" s="12">
        <f>计价规则!$B$6</f>
        <v>100</v>
      </c>
      <c r="R358" s="12">
        <f>计价规则!$B$7</f>
        <v>400</v>
      </c>
      <c r="S358" s="8" t="s">
        <v>26</v>
      </c>
      <c r="T358" s="13">
        <v>357</v>
      </c>
    </row>
    <row r="359" ht="26" customHeight="1" spans="1:20">
      <c r="A359" s="8">
        <f t="shared" si="5"/>
        <v>358</v>
      </c>
      <c r="B359" s="8" t="s">
        <v>683</v>
      </c>
      <c r="C359" s="14" t="s">
        <v>1005</v>
      </c>
      <c r="D359" s="10" t="s">
        <v>1006</v>
      </c>
      <c r="E359" s="11" t="s">
        <v>283</v>
      </c>
      <c r="F359" s="11"/>
      <c r="G359" s="10" t="s">
        <v>24</v>
      </c>
      <c r="H359" s="10" t="s">
        <v>606</v>
      </c>
      <c r="I359" s="10"/>
      <c r="J359" s="10"/>
      <c r="K359" s="10"/>
      <c r="L359" s="12">
        <f>计价规则!$B$2+计价规则!$B$3*MAX(0,IF(H359="",0,LEN(H359)-LEN(SUBSTITUTE(H359,"、",""))+1)-(IF(ISNUMBER(SEARCH("WiFi通信模块",H359)),1,0)+IF(ISNUMBER(SEARCH("ESP8266 WiFi模块",H359)),1,0)+IF(ISNUMBER(SEARCH("NRF24L01无线通信模块",H359)),1,0)+IF(ISNUMBER(SEARCH("蓝牙模块",H359)),1,0)+IF(ISNUMBER(SEARCH("语音识别模块",H359)),1,0)+IF(ISNUMBER(SEARCH("语音播报模块",H359)),1,0)+IF(ISNUMBER(SEARCH("RFID模块",H359)),1,0)+IF(ISNUMBER(SEARCH("RFID读卡模块",H359)),1,0)+IF(ISNUMBER(SEARCH("GPS定位模块",H359)),1,0)+IF(ISNUMBER(SEARCH("GSM通信模块",H359)),1,0)+IF(ISNUMBER(SEARCH("摄像头模块",H359)),1,0)+IF(ISNUMBER(SEARCH("人脸识别模块",H359)),1,0)+IF(ISNUMBER(SEARCH("手势识别传感器",H359)),1,0)))</f>
        <v>120</v>
      </c>
      <c r="M359" s="12">
        <f>计价规则!$B$4+计价规则!$B$5*IF(H359="",0,LEN(H359)-LEN(SUBSTITUTE(H359,"、",""))+1)</f>
        <v>130</v>
      </c>
      <c r="N359" s="12"/>
      <c r="O359" s="12">
        <f>计价规则!$B$6</f>
        <v>100</v>
      </c>
      <c r="P359" s="12">
        <f>计价规则!$B$6</f>
        <v>100</v>
      </c>
      <c r="Q359" s="12">
        <f>计价规则!$B$6</f>
        <v>100</v>
      </c>
      <c r="R359" s="12">
        <f>计价规则!$B$7</f>
        <v>400</v>
      </c>
      <c r="S359" s="8" t="s">
        <v>26</v>
      </c>
      <c r="T359" s="13">
        <v>358</v>
      </c>
    </row>
    <row r="360" ht="26" customHeight="1" spans="1:20">
      <c r="A360" s="8">
        <f t="shared" si="5"/>
        <v>359</v>
      </c>
      <c r="B360" s="8" t="s">
        <v>1007</v>
      </c>
      <c r="C360" s="9" t="s">
        <v>1008</v>
      </c>
      <c r="D360" s="10" t="s">
        <v>1009</v>
      </c>
      <c r="E360" s="11" t="s">
        <v>998</v>
      </c>
      <c r="F360" s="11"/>
      <c r="G360" s="10" t="s">
        <v>185</v>
      </c>
      <c r="H360" s="10" t="s">
        <v>1010</v>
      </c>
      <c r="I360" s="10"/>
      <c r="J360" s="10"/>
      <c r="K360" s="10"/>
      <c r="L360" s="12">
        <f>计价规则!$B$2+计价规则!$B$3*MAX(0,IF(H360="",0,LEN(H360)-LEN(SUBSTITUTE(H360,"、",""))+1)-(IF(ISNUMBER(SEARCH("WiFi通信模块",H360)),1,0)+IF(ISNUMBER(SEARCH("ESP8266 WiFi模块",H360)),1,0)+IF(ISNUMBER(SEARCH("NRF24L01无线通信模块",H360)),1,0)+IF(ISNUMBER(SEARCH("蓝牙模块",H360)),1,0)+IF(ISNUMBER(SEARCH("语音识别模块",H360)),1,0)+IF(ISNUMBER(SEARCH("语音播报模块",H360)),1,0)+IF(ISNUMBER(SEARCH("RFID模块",H360)),1,0)+IF(ISNUMBER(SEARCH("RFID读卡模块",H360)),1,0)+IF(ISNUMBER(SEARCH("GPS定位模块",H360)),1,0)+IF(ISNUMBER(SEARCH("GSM通信模块",H360)),1,0)+IF(ISNUMBER(SEARCH("摄像头模块",H360)),1,0)+IF(ISNUMBER(SEARCH("人脸识别模块",H360)),1,0)+IF(ISNUMBER(SEARCH("手势识别传感器",H360)),1,0)))</f>
        <v>105</v>
      </c>
      <c r="M360" s="12">
        <f>计价规则!$B$4+计价规则!$B$5*IF(H360="",0,LEN(H360)-LEN(SUBSTITUTE(H360,"、",""))+1)</f>
        <v>110</v>
      </c>
      <c r="N360" s="12"/>
      <c r="O360" s="12">
        <f>计价规则!$B$6</f>
        <v>100</v>
      </c>
      <c r="P360" s="12">
        <f>计价规则!$B$6</f>
        <v>100</v>
      </c>
      <c r="Q360" s="12">
        <f>计价规则!$B$6</f>
        <v>100</v>
      </c>
      <c r="R360" s="12">
        <f>计价规则!$B$7</f>
        <v>400</v>
      </c>
      <c r="S360" s="8" t="s">
        <v>26</v>
      </c>
      <c r="T360" s="13">
        <v>359</v>
      </c>
    </row>
    <row r="361" ht="26" customHeight="1" spans="1:20">
      <c r="A361" s="8">
        <f t="shared" si="5"/>
        <v>360</v>
      </c>
      <c r="B361" s="8" t="s">
        <v>1007</v>
      </c>
      <c r="C361" s="9" t="s">
        <v>1011</v>
      </c>
      <c r="D361" s="10" t="s">
        <v>1012</v>
      </c>
      <c r="E361" s="11" t="s">
        <v>998</v>
      </c>
      <c r="F361" s="11"/>
      <c r="G361" s="10" t="s">
        <v>81</v>
      </c>
      <c r="H361" s="10" t="s">
        <v>1013</v>
      </c>
      <c r="I361" s="10"/>
      <c r="J361" s="10"/>
      <c r="K361" s="10"/>
      <c r="L361" s="12">
        <f>计价规则!$B$2+计价规则!$B$3*MAX(0,IF(H361="",0,LEN(H361)-LEN(SUBSTITUTE(H361,"、",""))+1)-(IF(ISNUMBER(SEARCH("WiFi通信模块",H361)),1,0)+IF(ISNUMBER(SEARCH("ESP8266 WiFi模块",H361)),1,0)+IF(ISNUMBER(SEARCH("NRF24L01无线通信模块",H361)),1,0)+IF(ISNUMBER(SEARCH("蓝牙模块",H361)),1,0)+IF(ISNUMBER(SEARCH("语音识别模块",H361)),1,0)+IF(ISNUMBER(SEARCH("语音播报模块",H361)),1,0)+IF(ISNUMBER(SEARCH("RFID模块",H361)),1,0)+IF(ISNUMBER(SEARCH("RFID读卡模块",H361)),1,0)+IF(ISNUMBER(SEARCH("GPS定位模块",H361)),1,0)+IF(ISNUMBER(SEARCH("GSM通信模块",H361)),1,0)+IF(ISNUMBER(SEARCH("摄像头模块",H361)),1,0)+IF(ISNUMBER(SEARCH("人脸识别模块",H361)),1,0)+IF(ISNUMBER(SEARCH("手势识别传感器",H361)),1,0)))</f>
        <v>105</v>
      </c>
      <c r="M361" s="12">
        <f>计价规则!$B$4+计价规则!$B$5*IF(H361="",0,LEN(H361)-LEN(SUBSTITUTE(H361,"、",""))+1)</f>
        <v>110</v>
      </c>
      <c r="N361" s="12"/>
      <c r="O361" s="12">
        <f>计价规则!$B$6</f>
        <v>100</v>
      </c>
      <c r="P361" s="12">
        <f>计价规则!$B$6</f>
        <v>100</v>
      </c>
      <c r="Q361" s="12">
        <f>计价规则!$B$6</f>
        <v>100</v>
      </c>
      <c r="R361" s="12">
        <f>计价规则!$B$7</f>
        <v>400</v>
      </c>
      <c r="S361" s="8" t="s">
        <v>26</v>
      </c>
      <c r="T361" s="13">
        <v>360</v>
      </c>
    </row>
  </sheetData>
  <conditionalFormatting sqref="S2:S361">
    <cfRule type="cellIs" dxfId="20" priority="4" operator="greaterThan">
      <formula>0</formula>
    </cfRule>
  </conditionalFormatting>
  <dataValidations count="1">
    <dataValidation type="list" sqref="S2:S361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3.8" outlineLevelRow="6" outlineLevelCol="1"/>
  <sheetData>
    <row r="1" spans="1:2">
      <c r="A1" t="s">
        <v>1014</v>
      </c>
      <c r="B1" t="s">
        <v>1015</v>
      </c>
    </row>
    <row r="2" spans="1:2">
      <c r="A2" t="s">
        <v>1016</v>
      </c>
      <c r="B2" s="1">
        <v>60</v>
      </c>
    </row>
    <row r="3" spans="1:2">
      <c r="A3" t="s">
        <v>1017</v>
      </c>
      <c r="B3" s="1">
        <v>15</v>
      </c>
    </row>
    <row r="4" spans="1:2">
      <c r="A4" t="s">
        <v>1018</v>
      </c>
      <c r="B4" s="1">
        <v>50</v>
      </c>
    </row>
    <row r="5" spans="1:2">
      <c r="A5" t="s">
        <v>1019</v>
      </c>
      <c r="B5" s="1">
        <v>20</v>
      </c>
    </row>
    <row r="6" spans="1:2">
      <c r="A6" t="s">
        <v>1020</v>
      </c>
      <c r="B6" s="1">
        <v>100</v>
      </c>
    </row>
    <row r="7" spans="1:2">
      <c r="A7" t="s">
        <v>1021</v>
      </c>
      <c r="B7" s="1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项目链接清单</vt:lpstr>
      <vt:lpstr>计价规则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流星</cp:lastModifiedBy>
  <dcterms:created xsi:type="dcterms:W3CDTF">2026-07-20T01:05:00Z</dcterms:created>
  <dcterms:modified xsi:type="dcterms:W3CDTF">2026-07-20T11:53:03Z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6A336F6890544635BC6116F08B70EC1C_13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